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Bảng đơn gi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<sst xmlns="http://schemas.openxmlformats.org/spreadsheetml/2006/main" count="153" uniqueCount="115">
  <si>
    <t xml:space="preserve">BẢNG ĐƠN GIÁ NỘI THẤT — JAMA HOME</t>
  </si>
  <si>
    <t xml:space="preserve">Dùng cho công cụ Báo giá tức thì trên JAMA CRM</t>
  </si>
  <si>
    <t xml:space="preserve">MỤC ĐÍCH</t>
  </si>
  <si>
    <t xml:space="preserve">File này để phòng Thu mua điền ĐƠN GIÁ BÁN THẬT (đã gồm margin) cho 28 hạng mục nội thất phổ biến.</t>
  </si>
  <si>
    <t xml:space="preserve">Sau khi điền xong và được duyệt, nhập các con số vào JAMA CRM → Báo giá tức thì → Xem bảng đơn giá.</t>
  </si>
  <si>
    <t xml:space="preserve">CÁCH ĐIỀN</t>
  </si>
  <si>
    <t xml:space="preserve">1. Mở sheet 'Bảng đơn giá'.</t>
  </si>
  <si>
    <t xml:space="preserve">2. Cột nền vàng nhạt (Giá THẬT) là nơi điền — 3 mức: Cơ bản / Tiêu chuẩn / Cao cấp.</t>
  </si>
  <si>
    <t xml:space="preserve">3. Cột nền xám (Giá tham khảo) là số gợi ý thị trường HCM — chỉ để so sánh, KHÔNG phải giá chính thức.</t>
  </si>
  <si>
    <t xml:space="preserve">4. Cột 'Chênh lệch %' tự tính để bạn thấy giá thật lệch bao nhiêu so với tham khảo.</t>
  </si>
  <si>
    <t xml:space="preserve">NGUYÊN TẮC ĐƠN GIÁ 3 PHÂN KHÚC</t>
  </si>
  <si>
    <t xml:space="preserve">• Cơ bản: vật liệu phổ thông (MFC, sàn công nghiệp, thiết bị nội địa) — khách ngân sách thấp.</t>
  </si>
  <si>
    <t xml:space="preserve">• Tiêu chuẩn: vật liệu tốt (MDF chống ẩm, phụ kiện Hafele) — phần lớn khách chọn mức này.</t>
  </si>
  <si>
    <t xml:space="preserve">• Cao cấp: gỗ tự nhiên/acrylic, da thật, thiết bị nhập khẩu, phụ kiện Blum full.</t>
  </si>
  <si>
    <t xml:space="preserve">LƯU Ý QUAN TRỌNG</t>
  </si>
  <si>
    <t xml:space="preserve">• Đây là GIÁ BÁN (đã cộng margin), KHÔNG phải giá nhập.</t>
  </si>
  <si>
    <t xml:space="preserve">• Giá vật tư HCM biến động — rà lại bảng này mỗi 1-2 tháng.</t>
  </si>
  <si>
    <t xml:space="preserve">• Báo giá tự động chỉ đáng tin khi đơn giá đúng. Đây là 'bộ não' của cả tính năng.</t>
  </si>
  <si>
    <t xml:space="preserve">Cập nhật lần cuối: ____/____/______        Người điền: ________________        Duyệt: ________________</t>
  </si>
  <si>
    <t xml:space="preserve">BẢNG ĐƠN GIÁ NỘI THẤT — điền cột nền VÀNG (Giá thật). Cột xám là tham khảo.</t>
  </si>
  <si>
    <t xml:space="preserve">Mã</t>
  </si>
  <si>
    <t xml:space="preserve">Hạng mục</t>
  </si>
  <si>
    <t xml:space="preserve">Nhóm</t>
  </si>
  <si>
    <t xml:space="preserve">ĐVT</t>
  </si>
  <si>
    <t xml:space="preserve">Tham khảo
Cơ bản</t>
  </si>
  <si>
    <t xml:space="preserve">Tham khảo
Tiêu chuẩn</t>
  </si>
  <si>
    <t xml:space="preserve">Tham khảo
Cao cấp</t>
  </si>
  <si>
    <t xml:space="preserve">GIÁ THẬT
Cơ bản</t>
  </si>
  <si>
    <t xml:space="preserve">GIÁ THẬT
Tiêu chuẩn</t>
  </si>
  <si>
    <t xml:space="preserve">GIÁ THẬT
Cao cấp</t>
  </si>
  <si>
    <t xml:space="preserve">Ghi chú</t>
  </si>
  <si>
    <t xml:space="preserve">Chênh lệch
(Std)</t>
  </si>
  <si>
    <t xml:space="preserve">TRAN-01</t>
  </si>
  <si>
    <t xml:space="preserve">Trần thạch cao khung chìm</t>
  </si>
  <si>
    <t xml:space="preserve">Trần &amp; vách</t>
  </si>
  <si>
    <t xml:space="preserve">m2</t>
  </si>
  <si>
    <t xml:space="preserve">Gồm sơn hoàn thiện</t>
  </si>
  <si>
    <t xml:space="preserve">TRAN-02</t>
  </si>
  <si>
    <t xml:space="preserve">Vách thạch cao / vách trang trí</t>
  </si>
  <si>
    <t xml:space="preserve">TRAN-03</t>
  </si>
  <si>
    <t xml:space="preserve">Chỉ tường, phào trang trí</t>
  </si>
  <si>
    <t xml:space="preserve">md</t>
  </si>
  <si>
    <t xml:space="preserve">SAN-01</t>
  </si>
  <si>
    <t xml:space="preserve">Sàn gỗ công nghiệp / SPC</t>
  </si>
  <si>
    <t xml:space="preserve">Sàn</t>
  </si>
  <si>
    <t xml:space="preserve">Premium = gỗ kỹ thuật</t>
  </si>
  <si>
    <t xml:space="preserve">SAN-02</t>
  </si>
  <si>
    <t xml:space="preserve">Len chân tường</t>
  </si>
  <si>
    <t xml:space="preserve">SON-01</t>
  </si>
  <si>
    <t xml:space="preserve">Sơn nước hoàn thiện</t>
  </si>
  <si>
    <t xml:space="preserve">Sơn &amp; giấy</t>
  </si>
  <si>
    <t xml:space="preserve">DT sơn ~2.4-2.8 lần sàn</t>
  </si>
  <si>
    <t xml:space="preserve">SON-02</t>
  </si>
  <si>
    <t xml:space="preserve">Giấy dán tường / tường điểm nhấn</t>
  </si>
  <si>
    <t xml:space="preserve">BEP-01</t>
  </si>
  <si>
    <t xml:space="preserve">Tủ bếp trên + dưới</t>
  </si>
  <si>
    <t xml:space="preserve">Tủ bếp</t>
  </si>
  <si>
    <t xml:space="preserve">Basic MFC, Std MDF chống ẩm, Premium gỗ tự nhiên/acrylic</t>
  </si>
  <si>
    <t xml:space="preserve">BEP-02</t>
  </si>
  <si>
    <t xml:space="preserve">Đá mặt bếp + ốp tường bếp</t>
  </si>
  <si>
    <t xml:space="preserve">BEP-03</t>
  </si>
  <si>
    <t xml:space="preserve">Phụ kiện tủ bếp (ray, bản lề, kệ)</t>
  </si>
  <si>
    <t xml:space="preserve">bộ</t>
  </si>
  <si>
    <t xml:space="preserve">Premium = Blum/Hafele full</t>
  </si>
  <si>
    <t xml:space="preserve">GO-01</t>
  </si>
  <si>
    <t xml:space="preserve">Tủ áo âm tường / cánh mở</t>
  </si>
  <si>
    <t xml:space="preserve">Tủ áo &amp; đồ gỗ</t>
  </si>
  <si>
    <t xml:space="preserve">m2 mặt tủ</t>
  </si>
  <si>
    <t xml:space="preserve">GO-02</t>
  </si>
  <si>
    <t xml:space="preserve">Kệ tivi + vách tivi</t>
  </si>
  <si>
    <t xml:space="preserve">GO-03</t>
  </si>
  <si>
    <t xml:space="preserve">Tủ giày / tủ trang trí lối vào</t>
  </si>
  <si>
    <t xml:space="preserve">GO-04</t>
  </si>
  <si>
    <t xml:space="preserve">Bàn làm việc + kệ sách</t>
  </si>
  <si>
    <t xml:space="preserve">SOFA-01</t>
  </si>
  <si>
    <t xml:space="preserve">Sofa phòng khách</t>
  </si>
  <si>
    <t xml:space="preserve">Sofa &amp; bàn ghế</t>
  </si>
  <si>
    <t xml:space="preserve">Premium = da thật/nhập khẩu</t>
  </si>
  <si>
    <t xml:space="preserve">SOFA-02</t>
  </si>
  <si>
    <t xml:space="preserve">Bàn trà</t>
  </si>
  <si>
    <t xml:space="preserve">cái</t>
  </si>
  <si>
    <t xml:space="preserve">SOFA-03</t>
  </si>
  <si>
    <t xml:space="preserve">Bàn ăn + ghế</t>
  </si>
  <si>
    <t xml:space="preserve">GIUONG-01</t>
  </si>
  <si>
    <t xml:space="preserve">Giường ngủ (khung + đầu giường)</t>
  </si>
  <si>
    <t xml:space="preserve">Giường &amp; nệm</t>
  </si>
  <si>
    <t xml:space="preserve">GIUONG-02</t>
  </si>
  <si>
    <t xml:space="preserve">Nệm</t>
  </si>
  <si>
    <t xml:space="preserve">GIUONG-03</t>
  </si>
  <si>
    <t xml:space="preserve">Tab đầu giường (cặp)</t>
  </si>
  <si>
    <t xml:space="preserve">DEN-01</t>
  </si>
  <si>
    <t xml:space="preserve">Đèn trang trí (thả, ốp, spotlight)</t>
  </si>
  <si>
    <t xml:space="preserve">Đèn &amp; điện</t>
  </si>
  <si>
    <t xml:space="preserve">trọn gói/căn</t>
  </si>
  <si>
    <t xml:space="preserve">DEN-02</t>
  </si>
  <si>
    <t xml:space="preserve">Điều chỉnh điện + công tắc ổ cắm</t>
  </si>
  <si>
    <t xml:space="preserve">m2 sàn</t>
  </si>
  <si>
    <t xml:space="preserve">REM-01</t>
  </si>
  <si>
    <t xml:space="preserve">Rèm cửa (bộ/cửa sổ)</t>
  </si>
  <si>
    <t xml:space="preserve">Rèm &amp; trang trí</t>
  </si>
  <si>
    <t xml:space="preserve">DECOR-01</t>
  </si>
  <si>
    <t xml:space="preserve">Decor: tranh, gương, cây, thảm</t>
  </si>
  <si>
    <t xml:space="preserve">TB-01</t>
  </si>
  <si>
    <t xml:space="preserve">Thiết bị bếp (bếp từ + hút mùi)</t>
  </si>
  <si>
    <t xml:space="preserve">Thiết bị</t>
  </si>
  <si>
    <t xml:space="preserve">KHAC-01</t>
  </si>
  <si>
    <t xml:space="preserve">Vận chuyển + lắp đặt + vệ sinh</t>
  </si>
  <si>
    <t xml:space="preserve">Khác</t>
  </si>
  <si>
    <t xml:space="preserve">trọn gói</t>
  </si>
  <si>
    <t xml:space="preserve">KHAC-02</t>
  </si>
  <si>
    <t xml:space="preserve">Thi công điện nước (nhà phố/villa)</t>
  </si>
  <si>
    <t xml:space="preserve">Chỉ nhà phố/villa</t>
  </si>
  <si>
    <t xml:space="preserve">KHAC-03</t>
  </si>
  <si>
    <t xml:space="preserve">Cầu thang: tay vịn, ốp bậc</t>
  </si>
  <si>
    <t xml:space="preserve">Ô chữ xanh dương nền vàng = số cần điền/sửa. Prefill sẵn = giá tham khảo, Thu mua chỉnh thành giá thật của JAMA.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</si>
</sst>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535C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2"/>
      <color rgb="FFC9A96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2100B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9966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9A96E"/>
        <bgColor rgb="FFD0CCC0"/>
      </patternFill>
    </fill>
    <fill>
      <patternFill patternType="solid">
        <fgColor rgb="FF1A535C"/>
        <bgColor rgb="FF555555"/>
      </patternFill>
    </fill>
    <fill>
      <patternFill patternType="solid">
        <fgColor rgb="FF8A6D3B"/>
        <bgColor rgb="FF996633"/>
      </patternFill>
    </fill>
    <fill>
      <patternFill patternType="solid">
        <fgColor rgb="FFEFE8D8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C0"/>
      </left>
      <right style="thin">
        <color rgb="FFD0CCC0"/>
      </right>
      <top style="thin">
        <color rgb="FFD0CCC0"/>
      </top>
      <bottom style="thin">
        <color rgb="FFD0CC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D0CCC0"/>
      <rgbColor rgb="FF888888"/>
      <rgbColor rgb="FF9999FF"/>
      <rgbColor rgb="FF996633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8"/>
      <rgbColor rgb="FFFFFF99"/>
      <rgbColor rgb="FF99CCFF"/>
      <rgbColor rgb="FFFF99CC"/>
      <rgbColor rgb="FFCC99FF"/>
      <rgbColor rgb="FFC9A96E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1A535C"/>
      <rgbColor rgb="FF339966"/>
      <rgbColor rgb="FF12100B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26.8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13"/>
  </cols>
  <sheetData>
    <row r="1" customFormat="false" ht="25.5" hidden="false" customHeight="tru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31.5" hidden="false" customHeight="tru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7" t="s">
        <v>24</v>
      </c>
      <c r="F2" s="7" t="s">
        <v>25</v>
      </c>
      <c r="G2" s="7" t="s">
        <v>26</v>
      </c>
      <c r="H2" s="8" t="s">
        <v>27</v>
      </c>
      <c r="I2" s="8" t="s">
        <v>28</v>
      </c>
      <c r="J2" s="8" t="s">
        <v>29</v>
      </c>
      <c r="K2" s="6" t="s">
        <v>30</v>
      </c>
      <c r="L2" s="6" t="s">
        <v>31</v>
      </c>
    </row>
    <row r="3" customFormat="false" ht="15" hidden="false" customHeight="false" outlineLevel="0" collapsed="false">
      <c r="A3" s="9" t="s">
        <v>32</v>
      </c>
      <c r="B3" s="10" t="s">
        <v>33</v>
      </c>
      <c r="C3" s="11" t="s">
        <v>34</v>
      </c>
      <c r="D3" s="12" t="s">
        <v>35</v>
      </c>
      <c r="E3" s="13" t="n">
        <v>165000</v>
      </c>
      <c r="F3" s="13" t="n">
        <v>225000</v>
      </c>
      <c r="G3" s="13" t="n">
        <v>330000</v>
      </c>
      <c r="H3" s="14" t="n">
        <v>165000</v>
      </c>
      <c r="I3" s="14" t="n">
        <v>225000</v>
      </c>
      <c r="J3" s="14" t="n">
        <v>330000</v>
      </c>
      <c r="K3" s="15" t="s">
        <v>36</v>
      </c>
      <c r="L3" s="16" t="n">
        <f aca="false">IF(F3=0,0,(I3-F3)/F3)</f>
        <v>0</v>
      </c>
    </row>
    <row r="4" customFormat="false" ht="15" hidden="false" customHeight="false" outlineLevel="0" collapsed="false">
      <c r="A4" s="9" t="s">
        <v>37</v>
      </c>
      <c r="B4" s="10" t="s">
        <v>38</v>
      </c>
      <c r="C4" s="11" t="s">
        <v>34</v>
      </c>
      <c r="D4" s="12" t="s">
        <v>35</v>
      </c>
      <c r="E4" s="13" t="n">
        <v>185000</v>
      </c>
      <c r="F4" s="13" t="n">
        <v>260000</v>
      </c>
      <c r="G4" s="13" t="n">
        <v>420000</v>
      </c>
      <c r="H4" s="14" t="n">
        <v>185000</v>
      </c>
      <c r="I4" s="14" t="n">
        <v>260000</v>
      </c>
      <c r="J4" s="14" t="n">
        <v>420000</v>
      </c>
      <c r="K4" s="15"/>
      <c r="L4" s="16" t="n">
        <f aca="false">IF(F4=0,0,(I4-F4)/F4)</f>
        <v>0</v>
      </c>
    </row>
    <row r="5" customFormat="false" ht="15" hidden="false" customHeight="false" outlineLevel="0" collapsed="false">
      <c r="A5" s="9" t="s">
        <v>39</v>
      </c>
      <c r="B5" s="10" t="s">
        <v>40</v>
      </c>
      <c r="C5" s="11" t="s">
        <v>34</v>
      </c>
      <c r="D5" s="12" t="s">
        <v>41</v>
      </c>
      <c r="E5" s="13" t="n">
        <v>45000</v>
      </c>
      <c r="F5" s="13" t="n">
        <v>85000</v>
      </c>
      <c r="G5" s="13" t="n">
        <v>160000</v>
      </c>
      <c r="H5" s="14" t="n">
        <v>45000</v>
      </c>
      <c r="I5" s="14" t="n">
        <v>85000</v>
      </c>
      <c r="J5" s="14" t="n">
        <v>160000</v>
      </c>
      <c r="K5" s="15"/>
      <c r="L5" s="16" t="n">
        <f aca="false">IF(F5=0,0,(I5-F5)/F5)</f>
        <v>0</v>
      </c>
    </row>
    <row r="6" customFormat="false" ht="15" hidden="false" customHeight="false" outlineLevel="0" collapsed="false">
      <c r="A6" s="9" t="s">
        <v>42</v>
      </c>
      <c r="B6" s="10" t="s">
        <v>43</v>
      </c>
      <c r="C6" s="11" t="s">
        <v>44</v>
      </c>
      <c r="D6" s="12" t="s">
        <v>35</v>
      </c>
      <c r="E6" s="13" t="n">
        <v>285000</v>
      </c>
      <c r="F6" s="13" t="n">
        <v>460000</v>
      </c>
      <c r="G6" s="13" t="n">
        <v>880000</v>
      </c>
      <c r="H6" s="14" t="n">
        <v>285000</v>
      </c>
      <c r="I6" s="14" t="n">
        <v>460000</v>
      </c>
      <c r="J6" s="14" t="n">
        <v>880000</v>
      </c>
      <c r="K6" s="15" t="s">
        <v>45</v>
      </c>
      <c r="L6" s="16" t="n">
        <f aca="false">IF(F6=0,0,(I6-F6)/F6)</f>
        <v>0</v>
      </c>
    </row>
    <row r="7" customFormat="false" ht="15" hidden="false" customHeight="false" outlineLevel="0" collapsed="false">
      <c r="A7" s="9" t="s">
        <v>46</v>
      </c>
      <c r="B7" s="10" t="s">
        <v>47</v>
      </c>
      <c r="C7" s="11" t="s">
        <v>44</v>
      </c>
      <c r="D7" s="12" t="s">
        <v>41</v>
      </c>
      <c r="E7" s="13" t="n">
        <v>35000</v>
      </c>
      <c r="F7" s="13" t="n">
        <v>55000</v>
      </c>
      <c r="G7" s="13" t="n">
        <v>95000</v>
      </c>
      <c r="H7" s="14" t="n">
        <v>35000</v>
      </c>
      <c r="I7" s="14" t="n">
        <v>55000</v>
      </c>
      <c r="J7" s="14" t="n">
        <v>95000</v>
      </c>
      <c r="K7" s="15"/>
      <c r="L7" s="16" t="n">
        <f aca="false">IF(F7=0,0,(I7-F7)/F7)</f>
        <v>0</v>
      </c>
    </row>
    <row r="8" customFormat="false" ht="15" hidden="false" customHeight="false" outlineLevel="0" collapsed="false">
      <c r="A8" s="9" t="s">
        <v>48</v>
      </c>
      <c r="B8" s="10" t="s">
        <v>49</v>
      </c>
      <c r="C8" s="11" t="s">
        <v>50</v>
      </c>
      <c r="D8" s="12" t="s">
        <v>35</v>
      </c>
      <c r="E8" s="13" t="n">
        <v>62000</v>
      </c>
      <c r="F8" s="13" t="n">
        <v>95000</v>
      </c>
      <c r="G8" s="13" t="n">
        <v>155000</v>
      </c>
      <c r="H8" s="14" t="n">
        <v>62000</v>
      </c>
      <c r="I8" s="14" t="n">
        <v>95000</v>
      </c>
      <c r="J8" s="14" t="n">
        <v>155000</v>
      </c>
      <c r="K8" s="15" t="s">
        <v>51</v>
      </c>
      <c r="L8" s="16" t="n">
        <f aca="false">IF(F8=0,0,(I8-F8)/F8)</f>
        <v>0</v>
      </c>
    </row>
    <row r="9" customFormat="false" ht="26.85" hidden="false" customHeight="false" outlineLevel="0" collapsed="false">
      <c r="A9" s="9" t="s">
        <v>52</v>
      </c>
      <c r="B9" s="10" t="s">
        <v>53</v>
      </c>
      <c r="C9" s="11" t="s">
        <v>50</v>
      </c>
      <c r="D9" s="12" t="s">
        <v>35</v>
      </c>
      <c r="E9" s="13" t="n">
        <v>155000</v>
      </c>
      <c r="F9" s="13" t="n">
        <v>260000</v>
      </c>
      <c r="G9" s="13" t="n">
        <v>480000</v>
      </c>
      <c r="H9" s="14" t="n">
        <v>155000</v>
      </c>
      <c r="I9" s="14" t="n">
        <v>260000</v>
      </c>
      <c r="J9" s="14" t="n">
        <v>480000</v>
      </c>
      <c r="K9" s="15"/>
      <c r="L9" s="16" t="n">
        <f aca="false">IF(F9=0,0,(I9-F9)/F9)</f>
        <v>0</v>
      </c>
    </row>
    <row r="10" customFormat="false" ht="22.35" hidden="false" customHeight="false" outlineLevel="0" collapsed="false">
      <c r="A10" s="9" t="s">
        <v>54</v>
      </c>
      <c r="B10" s="10" t="s">
        <v>55</v>
      </c>
      <c r="C10" s="11" t="s">
        <v>56</v>
      </c>
      <c r="D10" s="12" t="s">
        <v>41</v>
      </c>
      <c r="E10" s="13" t="n">
        <v>3600000</v>
      </c>
      <c r="F10" s="13" t="n">
        <v>5600000</v>
      </c>
      <c r="G10" s="13" t="n">
        <v>9200000</v>
      </c>
      <c r="H10" s="14" t="n">
        <v>3600000</v>
      </c>
      <c r="I10" s="14" t="n">
        <v>5600000</v>
      </c>
      <c r="J10" s="14" t="n">
        <v>9200000</v>
      </c>
      <c r="K10" s="15" t="s">
        <v>57</v>
      </c>
      <c r="L10" s="16" t="n">
        <f aca="false">IF(F10=0,0,(I10-F10)/F10)</f>
        <v>0</v>
      </c>
    </row>
    <row r="11" customFormat="false" ht="15" hidden="false" customHeight="false" outlineLevel="0" collapsed="false">
      <c r="A11" s="9" t="s">
        <v>58</v>
      </c>
      <c r="B11" s="10" t="s">
        <v>59</v>
      </c>
      <c r="C11" s="11" t="s">
        <v>56</v>
      </c>
      <c r="D11" s="12" t="s">
        <v>41</v>
      </c>
      <c r="E11" s="13" t="n">
        <v>1250000</v>
      </c>
      <c r="F11" s="13" t="n">
        <v>2300000</v>
      </c>
      <c r="G11" s="13" t="n">
        <v>4600000</v>
      </c>
      <c r="H11" s="14" t="n">
        <v>1250000</v>
      </c>
      <c r="I11" s="14" t="n">
        <v>2300000</v>
      </c>
      <c r="J11" s="14" t="n">
        <v>4600000</v>
      </c>
      <c r="K11" s="15"/>
      <c r="L11" s="16" t="n">
        <f aca="false">IF(F11=0,0,(I11-F11)/F11)</f>
        <v>0</v>
      </c>
    </row>
    <row r="12" customFormat="false" ht="15" hidden="false" customHeight="false" outlineLevel="0" collapsed="false">
      <c r="A12" s="9" t="s">
        <v>60</v>
      </c>
      <c r="B12" s="10" t="s">
        <v>61</v>
      </c>
      <c r="C12" s="11" t="s">
        <v>56</v>
      </c>
      <c r="D12" s="12" t="s">
        <v>62</v>
      </c>
      <c r="E12" s="13" t="n">
        <v>3200000</v>
      </c>
      <c r="F12" s="13" t="n">
        <v>8500000</v>
      </c>
      <c r="G12" s="13" t="n">
        <v>21000000</v>
      </c>
      <c r="H12" s="14" t="n">
        <v>3200000</v>
      </c>
      <c r="I12" s="14" t="n">
        <v>8500000</v>
      </c>
      <c r="J12" s="14" t="n">
        <v>21000000</v>
      </c>
      <c r="K12" s="15" t="s">
        <v>63</v>
      </c>
      <c r="L12" s="16" t="n">
        <f aca="false">IF(F12=0,0,(I12-F12)/F12)</f>
        <v>0</v>
      </c>
    </row>
    <row r="13" customFormat="false" ht="15" hidden="false" customHeight="false" outlineLevel="0" collapsed="false">
      <c r="A13" s="9" t="s">
        <v>64</v>
      </c>
      <c r="B13" s="10" t="s">
        <v>65</v>
      </c>
      <c r="C13" s="11" t="s">
        <v>66</v>
      </c>
      <c r="D13" s="12" t="s">
        <v>67</v>
      </c>
      <c r="E13" s="13" t="n">
        <v>2850000</v>
      </c>
      <c r="F13" s="13" t="n">
        <v>4300000</v>
      </c>
      <c r="G13" s="13" t="n">
        <v>6800000</v>
      </c>
      <c r="H13" s="14" t="n">
        <v>2850000</v>
      </c>
      <c r="I13" s="14" t="n">
        <v>4300000</v>
      </c>
      <c r="J13" s="14" t="n">
        <v>6800000</v>
      </c>
      <c r="K13" s="15"/>
      <c r="L13" s="16" t="n">
        <f aca="false">IF(F13=0,0,(I13-F13)/F13)</f>
        <v>0</v>
      </c>
    </row>
    <row r="14" customFormat="false" ht="15" hidden="false" customHeight="false" outlineLevel="0" collapsed="false">
      <c r="A14" s="9" t="s">
        <v>68</v>
      </c>
      <c r="B14" s="10" t="s">
        <v>69</v>
      </c>
      <c r="C14" s="11" t="s">
        <v>66</v>
      </c>
      <c r="D14" s="12" t="s">
        <v>62</v>
      </c>
      <c r="E14" s="13" t="n">
        <v>4200000</v>
      </c>
      <c r="F14" s="13" t="n">
        <v>8500000</v>
      </c>
      <c r="G14" s="13" t="n">
        <v>19000000</v>
      </c>
      <c r="H14" s="14" t="n">
        <v>4200000</v>
      </c>
      <c r="I14" s="14" t="n">
        <v>8500000</v>
      </c>
      <c r="J14" s="14" t="n">
        <v>19000000</v>
      </c>
      <c r="K14" s="15"/>
      <c r="L14" s="16" t="n">
        <f aca="false">IF(F14=0,0,(I14-F14)/F14)</f>
        <v>0</v>
      </c>
    </row>
    <row r="15" customFormat="false" ht="15" hidden="false" customHeight="false" outlineLevel="0" collapsed="false">
      <c r="A15" s="9" t="s">
        <v>70</v>
      </c>
      <c r="B15" s="10" t="s">
        <v>71</v>
      </c>
      <c r="C15" s="11" t="s">
        <v>66</v>
      </c>
      <c r="D15" s="12" t="s">
        <v>62</v>
      </c>
      <c r="E15" s="13" t="n">
        <v>3100000</v>
      </c>
      <c r="F15" s="13" t="n">
        <v>6200000</v>
      </c>
      <c r="G15" s="13" t="n">
        <v>12500000</v>
      </c>
      <c r="H15" s="14" t="n">
        <v>3100000</v>
      </c>
      <c r="I15" s="14" t="n">
        <v>6200000</v>
      </c>
      <c r="J15" s="14" t="n">
        <v>12500000</v>
      </c>
      <c r="K15" s="15"/>
      <c r="L15" s="16" t="n">
        <f aca="false">IF(F15=0,0,(I15-F15)/F15)</f>
        <v>0</v>
      </c>
    </row>
    <row r="16" customFormat="false" ht="15" hidden="false" customHeight="false" outlineLevel="0" collapsed="false">
      <c r="A16" s="9" t="s">
        <v>72</v>
      </c>
      <c r="B16" s="10" t="s">
        <v>73</v>
      </c>
      <c r="C16" s="11" t="s">
        <v>66</v>
      </c>
      <c r="D16" s="12" t="s">
        <v>62</v>
      </c>
      <c r="E16" s="13" t="n">
        <v>3400000</v>
      </c>
      <c r="F16" s="13" t="n">
        <v>6500000</v>
      </c>
      <c r="G16" s="13" t="n">
        <v>14500000</v>
      </c>
      <c r="H16" s="14" t="n">
        <v>3400000</v>
      </c>
      <c r="I16" s="14" t="n">
        <v>6500000</v>
      </c>
      <c r="J16" s="14" t="n">
        <v>14500000</v>
      </c>
      <c r="K16" s="15"/>
      <c r="L16" s="16" t="n">
        <f aca="false">IF(F16=0,0,(I16-F16)/F16)</f>
        <v>0</v>
      </c>
    </row>
    <row r="17" customFormat="false" ht="15" hidden="false" customHeight="false" outlineLevel="0" collapsed="false">
      <c r="A17" s="9" t="s">
        <v>74</v>
      </c>
      <c r="B17" s="10" t="s">
        <v>75</v>
      </c>
      <c r="C17" s="11" t="s">
        <v>76</v>
      </c>
      <c r="D17" s="12" t="s">
        <v>62</v>
      </c>
      <c r="E17" s="13" t="n">
        <v>12500000</v>
      </c>
      <c r="F17" s="13" t="n">
        <v>26000000</v>
      </c>
      <c r="G17" s="13" t="n">
        <v>62000000</v>
      </c>
      <c r="H17" s="14" t="n">
        <v>12500000</v>
      </c>
      <c r="I17" s="14" t="n">
        <v>26000000</v>
      </c>
      <c r="J17" s="14" t="n">
        <v>62000000</v>
      </c>
      <c r="K17" s="15" t="s">
        <v>77</v>
      </c>
      <c r="L17" s="16" t="n">
        <f aca="false">IF(F17=0,0,(I17-F17)/F17)</f>
        <v>0</v>
      </c>
    </row>
    <row r="18" customFormat="false" ht="15" hidden="false" customHeight="false" outlineLevel="0" collapsed="false">
      <c r="A18" s="9" t="s">
        <v>78</v>
      </c>
      <c r="B18" s="10" t="s">
        <v>79</v>
      </c>
      <c r="C18" s="11" t="s">
        <v>76</v>
      </c>
      <c r="D18" s="12" t="s">
        <v>80</v>
      </c>
      <c r="E18" s="13" t="n">
        <v>2200000</v>
      </c>
      <c r="F18" s="13" t="n">
        <v>5200000</v>
      </c>
      <c r="G18" s="13" t="n">
        <v>12500000</v>
      </c>
      <c r="H18" s="14" t="n">
        <v>2200000</v>
      </c>
      <c r="I18" s="14" t="n">
        <v>5200000</v>
      </c>
      <c r="J18" s="14" t="n">
        <v>12500000</v>
      </c>
      <c r="K18" s="15"/>
      <c r="L18" s="16" t="n">
        <f aca="false">IF(F18=0,0,(I18-F18)/F18)</f>
        <v>0</v>
      </c>
    </row>
    <row r="19" customFormat="false" ht="15" hidden="false" customHeight="false" outlineLevel="0" collapsed="false">
      <c r="A19" s="9" t="s">
        <v>81</v>
      </c>
      <c r="B19" s="10" t="s">
        <v>82</v>
      </c>
      <c r="C19" s="11" t="s">
        <v>76</v>
      </c>
      <c r="D19" s="12" t="s">
        <v>62</v>
      </c>
      <c r="E19" s="13" t="n">
        <v>8500000</v>
      </c>
      <c r="F19" s="13" t="n">
        <v>18500000</v>
      </c>
      <c r="G19" s="13" t="n">
        <v>46000000</v>
      </c>
      <c r="H19" s="14" t="n">
        <v>8500000</v>
      </c>
      <c r="I19" s="14" t="n">
        <v>18500000</v>
      </c>
      <c r="J19" s="14" t="n">
        <v>46000000</v>
      </c>
      <c r="K19" s="15"/>
      <c r="L19" s="16" t="n">
        <f aca="false">IF(F19=0,0,(I19-F19)/F19)</f>
        <v>0</v>
      </c>
    </row>
    <row r="20" customFormat="false" ht="26.85" hidden="false" customHeight="false" outlineLevel="0" collapsed="false">
      <c r="A20" s="9" t="s">
        <v>83</v>
      </c>
      <c r="B20" s="10" t="s">
        <v>84</v>
      </c>
      <c r="C20" s="11" t="s">
        <v>85</v>
      </c>
      <c r="D20" s="12" t="s">
        <v>80</v>
      </c>
      <c r="E20" s="13" t="n">
        <v>6200000</v>
      </c>
      <c r="F20" s="13" t="n">
        <v>12500000</v>
      </c>
      <c r="G20" s="13" t="n">
        <v>26000000</v>
      </c>
      <c r="H20" s="14" t="n">
        <v>6200000</v>
      </c>
      <c r="I20" s="14" t="n">
        <v>12500000</v>
      </c>
      <c r="J20" s="14" t="n">
        <v>26000000</v>
      </c>
      <c r="K20" s="15"/>
      <c r="L20" s="16" t="n">
        <f aca="false">IF(F20=0,0,(I20-F20)/F20)</f>
        <v>0</v>
      </c>
    </row>
    <row r="21" customFormat="false" ht="15" hidden="false" customHeight="false" outlineLevel="0" collapsed="false">
      <c r="A21" s="9" t="s">
        <v>86</v>
      </c>
      <c r="B21" s="10" t="s">
        <v>87</v>
      </c>
      <c r="C21" s="11" t="s">
        <v>85</v>
      </c>
      <c r="D21" s="12" t="s">
        <v>80</v>
      </c>
      <c r="E21" s="13" t="n">
        <v>4200000</v>
      </c>
      <c r="F21" s="13" t="n">
        <v>9500000</v>
      </c>
      <c r="G21" s="13" t="n">
        <v>26000000</v>
      </c>
      <c r="H21" s="14" t="n">
        <v>4200000</v>
      </c>
      <c r="I21" s="14" t="n">
        <v>9500000</v>
      </c>
      <c r="J21" s="14" t="n">
        <v>26000000</v>
      </c>
      <c r="K21" s="15"/>
      <c r="L21" s="16" t="n">
        <f aca="false">IF(F21=0,0,(I21-F21)/F21)</f>
        <v>0</v>
      </c>
    </row>
    <row r="22" customFormat="false" ht="15" hidden="false" customHeight="false" outlineLevel="0" collapsed="false">
      <c r="A22" s="9" t="s">
        <v>88</v>
      </c>
      <c r="B22" s="10" t="s">
        <v>89</v>
      </c>
      <c r="C22" s="11" t="s">
        <v>85</v>
      </c>
      <c r="D22" s="12" t="s">
        <v>62</v>
      </c>
      <c r="E22" s="13" t="n">
        <v>1800000</v>
      </c>
      <c r="F22" s="13" t="n">
        <v>3600000</v>
      </c>
      <c r="G22" s="13" t="n">
        <v>8200000</v>
      </c>
      <c r="H22" s="14" t="n">
        <v>1800000</v>
      </c>
      <c r="I22" s="14" t="n">
        <v>3600000</v>
      </c>
      <c r="J22" s="14" t="n">
        <v>8200000</v>
      </c>
      <c r="K22" s="15"/>
      <c r="L22" s="16" t="n">
        <f aca="false">IF(F22=0,0,(I22-F22)/F22)</f>
        <v>0</v>
      </c>
    </row>
    <row r="23" customFormat="false" ht="15" hidden="false" customHeight="false" outlineLevel="0" collapsed="false">
      <c r="A23" s="9" t="s">
        <v>90</v>
      </c>
      <c r="B23" s="10" t="s">
        <v>91</v>
      </c>
      <c r="C23" s="11" t="s">
        <v>92</v>
      </c>
      <c r="D23" s="12" t="s">
        <v>93</v>
      </c>
      <c r="E23" s="13" t="n">
        <v>5500000</v>
      </c>
      <c r="F23" s="13" t="n">
        <v>13500000</v>
      </c>
      <c r="G23" s="13" t="n">
        <v>38000000</v>
      </c>
      <c r="H23" s="14" t="n">
        <v>5500000</v>
      </c>
      <c r="I23" s="14" t="n">
        <v>13500000</v>
      </c>
      <c r="J23" s="14" t="n">
        <v>38000000</v>
      </c>
      <c r="K23" s="15"/>
      <c r="L23" s="16" t="n">
        <f aca="false">IF(F23=0,0,(I23-F23)/F23)</f>
        <v>0</v>
      </c>
    </row>
    <row r="24" customFormat="false" ht="15" hidden="false" customHeight="false" outlineLevel="0" collapsed="false">
      <c r="A24" s="9" t="s">
        <v>94</v>
      </c>
      <c r="B24" s="10" t="s">
        <v>95</v>
      </c>
      <c r="C24" s="11" t="s">
        <v>92</v>
      </c>
      <c r="D24" s="12" t="s">
        <v>96</v>
      </c>
      <c r="E24" s="13" t="n">
        <v>85000</v>
      </c>
      <c r="F24" s="13" t="n">
        <v>135000</v>
      </c>
      <c r="G24" s="13" t="n">
        <v>215000</v>
      </c>
      <c r="H24" s="14" t="n">
        <v>85000</v>
      </c>
      <c r="I24" s="14" t="n">
        <v>135000</v>
      </c>
      <c r="J24" s="14" t="n">
        <v>215000</v>
      </c>
      <c r="K24" s="15"/>
      <c r="L24" s="16" t="n">
        <f aca="false">IF(F24=0,0,(I24-F24)/F24)</f>
        <v>0</v>
      </c>
    </row>
    <row r="25" customFormat="false" ht="15" hidden="false" customHeight="false" outlineLevel="0" collapsed="false">
      <c r="A25" s="9" t="s">
        <v>97</v>
      </c>
      <c r="B25" s="10" t="s">
        <v>98</v>
      </c>
      <c r="C25" s="11" t="s">
        <v>99</v>
      </c>
      <c r="D25" s="12" t="s">
        <v>62</v>
      </c>
      <c r="E25" s="13" t="n">
        <v>2600000</v>
      </c>
      <c r="F25" s="13" t="n">
        <v>4800000</v>
      </c>
      <c r="G25" s="13" t="n">
        <v>9500000</v>
      </c>
      <c r="H25" s="14" t="n">
        <v>2600000</v>
      </c>
      <c r="I25" s="14" t="n">
        <v>4800000</v>
      </c>
      <c r="J25" s="14" t="n">
        <v>9500000</v>
      </c>
      <c r="K25" s="15"/>
      <c r="L25" s="16" t="n">
        <f aca="false">IF(F25=0,0,(I25-F25)/F25)</f>
        <v>0</v>
      </c>
    </row>
    <row r="26" customFormat="false" ht="15" hidden="false" customHeight="false" outlineLevel="0" collapsed="false">
      <c r="A26" s="9" t="s">
        <v>100</v>
      </c>
      <c r="B26" s="10" t="s">
        <v>101</v>
      </c>
      <c r="C26" s="11" t="s">
        <v>99</v>
      </c>
      <c r="D26" s="12" t="s">
        <v>93</v>
      </c>
      <c r="E26" s="13" t="n">
        <v>4500000</v>
      </c>
      <c r="F26" s="13" t="n">
        <v>11500000</v>
      </c>
      <c r="G26" s="13" t="n">
        <v>34000000</v>
      </c>
      <c r="H26" s="14" t="n">
        <v>4500000</v>
      </c>
      <c r="I26" s="14" t="n">
        <v>11500000</v>
      </c>
      <c r="J26" s="14" t="n">
        <v>34000000</v>
      </c>
      <c r="K26" s="15"/>
      <c r="L26" s="16" t="n">
        <f aca="false">IF(F26=0,0,(I26-F26)/F26)</f>
        <v>0</v>
      </c>
    </row>
    <row r="27" customFormat="false" ht="15" hidden="false" customHeight="false" outlineLevel="0" collapsed="false">
      <c r="A27" s="9" t="s">
        <v>102</v>
      </c>
      <c r="B27" s="10" t="s">
        <v>103</v>
      </c>
      <c r="C27" s="11" t="s">
        <v>104</v>
      </c>
      <c r="D27" s="12" t="s">
        <v>62</v>
      </c>
      <c r="E27" s="13" t="n">
        <v>8500000</v>
      </c>
      <c r="F27" s="13" t="n">
        <v>19000000</v>
      </c>
      <c r="G27" s="13" t="n">
        <v>46000000</v>
      </c>
      <c r="H27" s="14" t="n">
        <v>8500000</v>
      </c>
      <c r="I27" s="14" t="n">
        <v>19000000</v>
      </c>
      <c r="J27" s="14" t="n">
        <v>46000000</v>
      </c>
      <c r="K27" s="15"/>
      <c r="L27" s="16" t="n">
        <f aca="false">IF(F27=0,0,(I27-F27)/F27)</f>
        <v>0</v>
      </c>
    </row>
    <row r="28" customFormat="false" ht="15" hidden="false" customHeight="false" outlineLevel="0" collapsed="false">
      <c r="A28" s="9" t="s">
        <v>105</v>
      </c>
      <c r="B28" s="10" t="s">
        <v>106</v>
      </c>
      <c r="C28" s="11" t="s">
        <v>107</v>
      </c>
      <c r="D28" s="12" t="s">
        <v>108</v>
      </c>
      <c r="E28" s="13" t="n">
        <v>4500000</v>
      </c>
      <c r="F28" s="13" t="n">
        <v>7500000</v>
      </c>
      <c r="G28" s="13" t="n">
        <v>12000000</v>
      </c>
      <c r="H28" s="14" t="n">
        <v>4500000</v>
      </c>
      <c r="I28" s="14" t="n">
        <v>7500000</v>
      </c>
      <c r="J28" s="14" t="n">
        <v>12000000</v>
      </c>
      <c r="K28" s="15"/>
      <c r="L28" s="16" t="n">
        <f aca="false">IF(F28=0,0,(I28-F28)/F28)</f>
        <v>0</v>
      </c>
    </row>
    <row r="29" customFormat="false" ht="26.85" hidden="false" customHeight="false" outlineLevel="0" collapsed="false">
      <c r="A29" s="9" t="s">
        <v>109</v>
      </c>
      <c r="B29" s="10" t="s">
        <v>110</v>
      </c>
      <c r="C29" s="11" t="s">
        <v>107</v>
      </c>
      <c r="D29" s="12" t="s">
        <v>108</v>
      </c>
      <c r="E29" s="13" t="n">
        <v>18000000</v>
      </c>
      <c r="F29" s="13" t="n">
        <v>32000000</v>
      </c>
      <c r="G29" s="13" t="n">
        <v>62000000</v>
      </c>
      <c r="H29" s="14" t="n">
        <v>18000000</v>
      </c>
      <c r="I29" s="14" t="n">
        <v>32000000</v>
      </c>
      <c r="J29" s="14" t="n">
        <v>62000000</v>
      </c>
      <c r="K29" s="15" t="s">
        <v>111</v>
      </c>
      <c r="L29" s="16" t="n">
        <f aca="false">IF(F29=0,0,(I29-F29)/F29)</f>
        <v>0</v>
      </c>
    </row>
    <row r="30" customFormat="false" ht="15" hidden="false" customHeight="false" outlineLevel="0" collapsed="false">
      <c r="A30" s="9" t="s">
        <v>112</v>
      </c>
      <c r="B30" s="10" t="s">
        <v>113</v>
      </c>
      <c r="C30" s="11" t="s">
        <v>107</v>
      </c>
      <c r="D30" s="12" t="s">
        <v>108</v>
      </c>
      <c r="E30" s="13" t="n">
        <v>12000000</v>
      </c>
      <c r="F30" s="13" t="n">
        <v>24000000</v>
      </c>
      <c r="G30" s="13" t="n">
        <v>55000000</v>
      </c>
      <c r="H30" s="14" t="n">
        <v>12000000</v>
      </c>
      <c r="I30" s="14" t="n">
        <v>24000000</v>
      </c>
      <c r="J30" s="14" t="n">
        <v>55000000</v>
      </c>
      <c r="K30" s="15" t="s">
        <v>111</v>
      </c>
      <c r="L30" s="16" t="n">
        <f aca="false">IF(F30=0,0,(I30-F30)/F30)</f>
        <v>0</v>
      </c>
    </row>
    <row r="32" customFormat="false" ht="15" hidden="false" customHeight="false" outlineLevel="0" collapsed="false">
      <c r="A32" s="17" t="s">
        <v>114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</sheetData>
  <mergeCells count="2">
    <mergeCell ref="A1:K1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2026-07-08T22:02:32Z</dcterms:created>
  <dc:creator>openpyxl</dc:creator>
  <dc:description/>
  <dc:language>en-US</dc:language>
  <cp:lastModifiedBy/>
  <dcterms:modified xsi:type="dcterms:W3CDTF">2026-07-08T22:02:54Z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