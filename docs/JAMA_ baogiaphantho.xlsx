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43D0966A-C665-4EBC-9E4F-60CE38BC26A3}" xr6:coauthVersionLast="47" xr6:coauthVersionMax="47" xr10:uidLastSave="{00000000-0000-0000-0000-000000000000}"/>
  <bookViews>
    <workbookView xWindow="-120" yWindow="-120" windowWidth="29040" windowHeight="15720" xr2:uid="{00000000-000D-0000-FFFF-FFFF00000000}"/>
  </bookViews>
  <sheets>
    <sheet name="BÁO GIÁ 3D" sheetId="19" r:id="rId1"/>
  </sheets>
  <externalReferences>
    <externalReference r:id="rId2"/>
    <externalReference r:id="rId3"/>
  </externalReferences>
  <definedNames>
    <definedName name="______xleta.PRODUCT" hidden="1">#NAME?</definedName>
    <definedName name="_____xleta.PRODUCT" hidden="1">#NAME?</definedName>
    <definedName name="____xleta.PRODUCT" hidden="1">#NAME?</definedName>
    <definedName name="___xleta.PRODUCT" hidden="1">#NAME?</definedName>
    <definedName name="__xleta.PRODUCT" hidden="1">#NAME?</definedName>
    <definedName name="_xleta.PRODUCT" hidden="1">#NAME?</definedName>
    <definedName name="bg">[1]bg!$A$1:$C$149</definedName>
    <definedName name="MANHAP">[2]TONGHOP17!$B$3:$B$248</definedName>
    <definedName name="masokh">[2]TONGHOP17!$B$6:$B$52</definedName>
    <definedName name="MaViet" localSheetId="0">#REF!</definedName>
    <definedName name="MaViet">#REF!</definedName>
    <definedName name="_xlnm.Print_Area" localSheetId="0">'BÁO GIÁ 3D'!$A$337:$L$408</definedName>
    <definedName name="_xlnm.Print_Titles" localSheetId="0">'BÁO GIÁ 3D'!$10:$11</definedName>
    <definedName name="TT">[2]TONGHOP17!$A:$A</definedName>
  </definedNames>
  <calcPr calcId="191029"/>
</workbook>
</file>

<file path=xl/calcChain.xml><?xml version="1.0" encoding="utf-8"?>
<calcChain xmlns="http://schemas.openxmlformats.org/spreadsheetml/2006/main">
  <c r="K360" i="19" l="1"/>
  <c r="H336" i="19"/>
  <c r="H331" i="19"/>
  <c r="K331" i="19" s="1"/>
  <c r="H328" i="19"/>
  <c r="H314" i="19"/>
  <c r="K314" i="19" s="1"/>
  <c r="H313" i="19"/>
  <c r="K313" i="19" s="1"/>
  <c r="K312" i="19"/>
  <c r="K311" i="19" l="1"/>
  <c r="K60" i="19"/>
  <c r="H305" i="19"/>
  <c r="H289" i="19"/>
  <c r="K287" i="19"/>
  <c r="H282" i="19"/>
  <c r="K276" i="19"/>
  <c r="H281" i="19"/>
  <c r="K59" i="19"/>
  <c r="H58" i="19"/>
  <c r="K58" i="19" s="1"/>
  <c r="H57" i="19"/>
  <c r="K57" i="19" s="1"/>
  <c r="K253" i="19"/>
  <c r="H251" i="19"/>
  <c r="K248" i="19"/>
  <c r="H247" i="19"/>
  <c r="H246" i="19" s="1"/>
  <c r="K245" i="19"/>
  <c r="K244" i="19"/>
  <c r="H234" i="19"/>
  <c r="H233" i="19"/>
  <c r="H232" i="19"/>
  <c r="H231" i="19"/>
  <c r="H229" i="19"/>
  <c r="H228" i="19"/>
  <c r="H227" i="19"/>
  <c r="H226" i="19"/>
  <c r="H225" i="19"/>
  <c r="H224" i="19"/>
  <c r="H223" i="19"/>
  <c r="H222" i="19"/>
  <c r="K220" i="19"/>
  <c r="K219" i="19"/>
  <c r="K218" i="19"/>
  <c r="K217" i="19"/>
  <c r="K216" i="19"/>
  <c r="H215" i="19"/>
  <c r="H214" i="19"/>
  <c r="H212" i="19"/>
  <c r="H211" i="19"/>
  <c r="K211" i="19" s="1"/>
  <c r="K209" i="19"/>
  <c r="K208" i="19"/>
  <c r="K207" i="19"/>
  <c r="K206" i="19"/>
  <c r="H205" i="19"/>
  <c r="H204" i="19"/>
  <c r="H203" i="19"/>
  <c r="K201" i="19"/>
  <c r="K200" i="19"/>
  <c r="K199" i="19"/>
  <c r="K198" i="19"/>
  <c r="K197" i="19"/>
  <c r="K196" i="19"/>
  <c r="K195" i="19"/>
  <c r="K194" i="19"/>
  <c r="K193" i="19"/>
  <c r="K192" i="19"/>
  <c r="K191" i="19"/>
  <c r="K190" i="19"/>
  <c r="J189" i="19"/>
  <c r="H189" i="19"/>
  <c r="K188" i="19"/>
  <c r="H187" i="19"/>
  <c r="H186" i="19"/>
  <c r="H185" i="19"/>
  <c r="H184" i="19"/>
  <c r="H183" i="19"/>
  <c r="H181" i="19"/>
  <c r="H180" i="19"/>
  <c r="H179" i="19"/>
  <c r="H178" i="19"/>
  <c r="H177" i="19"/>
  <c r="H176" i="19"/>
  <c r="H175" i="19"/>
  <c r="H174" i="19"/>
  <c r="K172" i="19"/>
  <c r="H141" i="19"/>
  <c r="H140" i="19"/>
  <c r="H139" i="19"/>
  <c r="H123" i="19"/>
  <c r="H122" i="19"/>
  <c r="H121" i="19"/>
  <c r="H120" i="19"/>
  <c r="H119" i="19"/>
  <c r="H114" i="19"/>
  <c r="H88" i="19"/>
  <c r="H87" i="19"/>
  <c r="H86" i="19"/>
  <c r="H74" i="19"/>
  <c r="H73" i="19"/>
  <c r="K189" i="19" l="1"/>
  <c r="H213" i="19"/>
  <c r="K213" i="19" s="1"/>
  <c r="K246" i="19"/>
  <c r="H173" i="19"/>
  <c r="K173" i="19" s="1"/>
  <c r="H221" i="19"/>
  <c r="K221" i="19" s="1"/>
  <c r="H85" i="19"/>
  <c r="K85" i="19" s="1"/>
  <c r="H182" i="19"/>
  <c r="K182" i="19" s="1"/>
  <c r="H230" i="19"/>
  <c r="K230" i="19" s="1"/>
  <c r="H202" i="19"/>
  <c r="K202" i="19" s="1"/>
  <c r="H210" i="19"/>
  <c r="K210" i="19" s="1"/>
  <c r="K212" i="19"/>
  <c r="H138" i="19"/>
  <c r="K138" i="19" s="1"/>
  <c r="H118" i="19"/>
  <c r="K118" i="19" s="1"/>
  <c r="H72" i="19"/>
  <c r="K72" i="19" s="1"/>
  <c r="H33" i="19"/>
  <c r="H29" i="19"/>
  <c r="H26" i="19"/>
  <c r="K421" i="19"/>
  <c r="K422" i="19"/>
  <c r="K171" i="19" l="1"/>
  <c r="K423" i="19"/>
  <c r="H332" i="19" l="1"/>
  <c r="K328" i="19"/>
  <c r="H327" i="19"/>
  <c r="H326" i="19"/>
  <c r="H325" i="19"/>
  <c r="K325" i="19" s="1"/>
  <c r="H324" i="19"/>
  <c r="H323" i="19"/>
  <c r="H322" i="19"/>
  <c r="H321" i="19"/>
  <c r="H319" i="19"/>
  <c r="H318" i="19"/>
  <c r="H317" i="19"/>
  <c r="H316" i="19"/>
  <c r="K310" i="19"/>
  <c r="K309" i="19"/>
  <c r="K308" i="19"/>
  <c r="K61" i="19"/>
  <c r="K332" i="19" l="1"/>
  <c r="H330" i="19"/>
  <c r="H320" i="19"/>
  <c r="K320" i="19" s="1"/>
  <c r="H315" i="19"/>
  <c r="K315" i="19" s="1"/>
  <c r="H329" i="19" l="1"/>
  <c r="K329" i="19" s="1"/>
  <c r="K307" i="19" s="1"/>
  <c r="K330" i="19"/>
  <c r="K55" i="19"/>
  <c r="K383" i="19"/>
  <c r="K382" i="19" l="1"/>
  <c r="K385" i="19"/>
  <c r="K386" i="19"/>
  <c r="K376" i="19" l="1"/>
  <c r="D372" i="19"/>
  <c r="H372" i="19" s="1"/>
  <c r="K372" i="19" s="1"/>
  <c r="K371" i="19"/>
  <c r="K370" i="19"/>
  <c r="H369" i="19"/>
  <c r="K369" i="19" s="1"/>
  <c r="H368" i="19"/>
  <c r="K368" i="19" s="1"/>
  <c r="K367" i="19"/>
  <c r="H366" i="19"/>
  <c r="K366" i="19" s="1"/>
  <c r="J365" i="19"/>
  <c r="K365" i="19" s="1"/>
  <c r="K364" i="19"/>
  <c r="H363" i="19"/>
  <c r="K363" i="19" s="1"/>
  <c r="H362" i="19"/>
  <c r="K362" i="19" s="1"/>
  <c r="H361" i="19"/>
  <c r="K361" i="19" s="1"/>
  <c r="H350" i="19"/>
  <c r="K350" i="19" s="1"/>
  <c r="K351" i="19"/>
  <c r="D359" i="19"/>
  <c r="H359" i="19" s="1"/>
  <c r="K359" i="19" s="1"/>
  <c r="K358" i="19"/>
  <c r="K357" i="19"/>
  <c r="H356" i="19"/>
  <c r="K356" i="19" s="1"/>
  <c r="H355" i="19"/>
  <c r="K355" i="19" s="1"/>
  <c r="K354" i="19"/>
  <c r="H353" i="19"/>
  <c r="K353" i="19" s="1"/>
  <c r="J352" i="19"/>
  <c r="K352" i="19" s="1"/>
  <c r="H349" i="19"/>
  <c r="K349" i="19" s="1"/>
  <c r="H348" i="19"/>
  <c r="K348" i="19" s="1"/>
  <c r="K345" i="19"/>
  <c r="H343" i="19"/>
  <c r="K343" i="19" s="1"/>
  <c r="H342" i="19"/>
  <c r="K342" i="19" s="1"/>
  <c r="K335" i="19"/>
  <c r="J339" i="19"/>
  <c r="K347" i="19" l="1"/>
  <c r="H295" i="19" l="1"/>
  <c r="H301" i="19"/>
  <c r="H297" i="19"/>
  <c r="H291" i="19"/>
  <c r="H271" i="19"/>
  <c r="H266" i="19"/>
  <c r="H265" i="19"/>
  <c r="H267" i="19"/>
  <c r="H252" i="19" l="1"/>
  <c r="H238" i="19"/>
  <c r="H106" i="19"/>
  <c r="H105" i="19"/>
  <c r="K143" i="19"/>
  <c r="K131" i="19"/>
  <c r="K126" i="19"/>
  <c r="K78" i="19"/>
  <c r="H111" i="19"/>
  <c r="H47" i="19"/>
  <c r="H104" i="19" l="1"/>
  <c r="K104" i="19" s="1"/>
  <c r="K37" i="19"/>
  <c r="K36" i="19"/>
  <c r="K35" i="19"/>
  <c r="K32" i="19"/>
  <c r="K30" i="19"/>
  <c r="H25" i="19"/>
  <c r="H24" i="19"/>
  <c r="H23" i="19"/>
  <c r="H22" i="19"/>
  <c r="K375" i="19"/>
  <c r="K377" i="19"/>
  <c r="K378" i="19"/>
  <c r="K381" i="19"/>
  <c r="K384" i="19"/>
  <c r="K387" i="19"/>
  <c r="K393" i="19"/>
  <c r="K394" i="19"/>
  <c r="K396" i="19"/>
  <c r="K398" i="19"/>
  <c r="K399" i="19"/>
  <c r="K400" i="19"/>
  <c r="K401" i="19"/>
  <c r="K402" i="19"/>
  <c r="K403" i="19"/>
  <c r="K404" i="19"/>
  <c r="K405" i="19"/>
  <c r="K406" i="19"/>
  <c r="K407" i="19"/>
  <c r="K408" i="19"/>
  <c r="K409" i="19"/>
  <c r="K410" i="19"/>
  <c r="K411" i="19"/>
  <c r="K412" i="19"/>
  <c r="K413" i="19"/>
  <c r="K414" i="19"/>
  <c r="K416" i="19"/>
  <c r="K417" i="19"/>
  <c r="K418" i="19"/>
  <c r="K374" i="19"/>
  <c r="K339" i="19"/>
  <c r="K341" i="19"/>
  <c r="K344" i="19"/>
  <c r="K262" i="19"/>
  <c r="K274" i="19"/>
  <c r="K288" i="19"/>
  <c r="K291" i="19"/>
  <c r="K302" i="19"/>
  <c r="K303" i="19"/>
  <c r="K242" i="19"/>
  <c r="K243" i="19"/>
  <c r="K255" i="19"/>
  <c r="K256" i="19"/>
  <c r="K127" i="19"/>
  <c r="K128" i="19"/>
  <c r="K142" i="19"/>
  <c r="K144" i="19"/>
  <c r="K145" i="19"/>
  <c r="K152" i="19"/>
  <c r="K153" i="19"/>
  <c r="K154" i="19"/>
  <c r="K155" i="19"/>
  <c r="K156" i="19"/>
  <c r="K89" i="19"/>
  <c r="K90" i="19"/>
  <c r="K94" i="19"/>
  <c r="K95" i="19"/>
  <c r="K96" i="19"/>
  <c r="K97" i="19"/>
  <c r="K397" i="19"/>
  <c r="H21" i="19" l="1"/>
  <c r="H258" i="19"/>
  <c r="K258" i="19" s="1"/>
  <c r="K380" i="19"/>
  <c r="K282" i="19" l="1"/>
  <c r="H280" i="19"/>
  <c r="K280" i="19" s="1"/>
  <c r="H391" i="19"/>
  <c r="K391" i="19" s="1"/>
  <c r="H93" i="19"/>
  <c r="H92" i="19"/>
  <c r="H290" i="19"/>
  <c r="K290" i="19" s="1"/>
  <c r="K91" i="19" l="1"/>
  <c r="K289" i="19" l="1"/>
  <c r="K395" i="19"/>
  <c r="K424" i="19" l="1"/>
  <c r="K129" i="19"/>
  <c r="K261" i="19"/>
  <c r="K64" i="19"/>
  <c r="H272" i="19" l="1"/>
  <c r="K272" i="19" s="1"/>
  <c r="H269" i="19"/>
  <c r="K269" i="19" s="1"/>
  <c r="H278" i="19"/>
  <c r="H279" i="19"/>
  <c r="H277" i="19" l="1"/>
  <c r="K277" i="19" s="1"/>
  <c r="H392" i="19"/>
  <c r="K392" i="19" s="1"/>
  <c r="H151" i="19"/>
  <c r="H150" i="19"/>
  <c r="H390" i="19"/>
  <c r="K390" i="19" s="1"/>
  <c r="H389" i="19"/>
  <c r="K389" i="19" s="1"/>
  <c r="H388" i="19" l="1"/>
  <c r="K388" i="19" s="1"/>
  <c r="H149" i="19"/>
  <c r="K149" i="19" s="1"/>
  <c r="H306" i="19" l="1"/>
  <c r="H304" i="19"/>
  <c r="H300" i="19"/>
  <c r="H299" i="19"/>
  <c r="H298" i="19"/>
  <c r="H296" i="19"/>
  <c r="H292" i="19"/>
  <c r="K292" i="19" s="1"/>
  <c r="K294" i="19" l="1"/>
  <c r="H275" i="19"/>
  <c r="K275" i="19" s="1"/>
  <c r="K286" i="19"/>
  <c r="K79" i="19"/>
  <c r="K284" i="19"/>
  <c r="K260" i="19"/>
  <c r="H264" i="19"/>
  <c r="K264" i="19" l="1"/>
  <c r="K263" i="19"/>
  <c r="H270" i="19"/>
  <c r="K270" i="19" s="1"/>
  <c r="K285" i="19"/>
  <c r="K283" i="19"/>
  <c r="K268" i="19" l="1"/>
  <c r="K273" i="19" l="1"/>
  <c r="H240" i="19"/>
  <c r="H148" i="19"/>
  <c r="K148" i="19" s="1"/>
  <c r="H147" i="19"/>
  <c r="K147" i="19" s="1"/>
  <c r="H146" i="19" l="1"/>
  <c r="K146" i="19" s="1"/>
  <c r="K293" i="19"/>
  <c r="K259" i="19" s="1"/>
  <c r="K137" i="19"/>
  <c r="K136" i="19"/>
  <c r="H110" i="19" l="1"/>
  <c r="D346" i="19" l="1"/>
  <c r="K98" i="19" l="1"/>
  <c r="K82" i="19" l="1"/>
  <c r="D76" i="19"/>
  <c r="K81" i="19" l="1"/>
  <c r="K420" i="19"/>
  <c r="K419" i="19" s="1"/>
  <c r="K415" i="19"/>
  <c r="K379" i="19"/>
  <c r="H346" i="19"/>
  <c r="K346" i="19" s="1"/>
  <c r="H340" i="19"/>
  <c r="K340" i="19" s="1"/>
  <c r="H338" i="19"/>
  <c r="K338" i="19" s="1"/>
  <c r="H337" i="19"/>
  <c r="K337" i="19" s="1"/>
  <c r="K336" i="19"/>
  <c r="K334" i="19" s="1"/>
  <c r="H257" i="19"/>
  <c r="K257" i="19" s="1"/>
  <c r="H254" i="19"/>
  <c r="K254" i="19" s="1"/>
  <c r="H250" i="19"/>
  <c r="H239" i="19"/>
  <c r="H237" i="19"/>
  <c r="H170" i="19"/>
  <c r="H169" i="19"/>
  <c r="H168" i="19"/>
  <c r="H167" i="19"/>
  <c r="H165" i="19"/>
  <c r="H164" i="19"/>
  <c r="H163" i="19"/>
  <c r="H162" i="19"/>
  <c r="H161" i="19"/>
  <c r="H160" i="19"/>
  <c r="H159" i="19"/>
  <c r="H158" i="19"/>
  <c r="K134" i="19"/>
  <c r="K133" i="19"/>
  <c r="K132" i="19"/>
  <c r="J125" i="19"/>
  <c r="H125" i="19"/>
  <c r="H117" i="19"/>
  <c r="H116" i="19"/>
  <c r="H115" i="19"/>
  <c r="H113" i="19"/>
  <c r="H112" i="19"/>
  <c r="H103" i="19"/>
  <c r="H102" i="19"/>
  <c r="H101" i="19"/>
  <c r="H100" i="19"/>
  <c r="J77" i="19"/>
  <c r="H77" i="19"/>
  <c r="H76" i="19"/>
  <c r="K76" i="19" s="1"/>
  <c r="H71" i="19"/>
  <c r="H70" i="19"/>
  <c r="H69" i="19"/>
  <c r="H68" i="19"/>
  <c r="H67" i="19"/>
  <c r="K54" i="19"/>
  <c r="K53" i="19"/>
  <c r="K52" i="19"/>
  <c r="K51" i="19"/>
  <c r="K50" i="19"/>
  <c r="K49" i="19"/>
  <c r="K48" i="19"/>
  <c r="H46" i="19"/>
  <c r="H45" i="19"/>
  <c r="H44" i="19"/>
  <c r="H43" i="19"/>
  <c r="H42" i="19"/>
  <c r="H41" i="19"/>
  <c r="H40" i="19"/>
  <c r="H39" i="19"/>
  <c r="K34" i="19"/>
  <c r="K31" i="19"/>
  <c r="K21" i="19"/>
  <c r="H20" i="19"/>
  <c r="H19" i="19"/>
  <c r="H18" i="19"/>
  <c r="H17" i="19"/>
  <c r="H16" i="19"/>
  <c r="H15" i="19"/>
  <c r="H236" i="19" l="1"/>
  <c r="K236" i="19" s="1"/>
  <c r="H38" i="19"/>
  <c r="K38" i="19" s="1"/>
  <c r="H14" i="19"/>
  <c r="K14" i="19" s="1"/>
  <c r="H66" i="19"/>
  <c r="K66" i="19" s="1"/>
  <c r="K373" i="19"/>
  <c r="K333" i="19"/>
  <c r="K77" i="19"/>
  <c r="K125" i="19"/>
  <c r="K84" i="19"/>
  <c r="K83" i="19"/>
  <c r="K80" i="19"/>
  <c r="H157" i="19"/>
  <c r="K157" i="19" s="1"/>
  <c r="H166" i="19"/>
  <c r="K166" i="19" s="1"/>
  <c r="K26" i="19"/>
  <c r="K130" i="19"/>
  <c r="H109" i="19"/>
  <c r="K109" i="19" s="1"/>
  <c r="K108" i="19"/>
  <c r="H99" i="19"/>
  <c r="K99" i="19" s="1"/>
  <c r="K33" i="19"/>
  <c r="K65" i="19"/>
  <c r="K29" i="19"/>
  <c r="K135" i="19"/>
  <c r="K249" i="19" l="1"/>
  <c r="K250" i="19"/>
  <c r="H241" i="19"/>
  <c r="K241" i="19" s="1"/>
  <c r="K75" i="19"/>
  <c r="K63" i="19" s="1"/>
  <c r="K124" i="19"/>
  <c r="K107" i="19" s="1"/>
  <c r="K13" i="19"/>
  <c r="K235" i="19" l="1"/>
  <c r="K12" i="19"/>
</calcChain>
</file>

<file path=xl/sharedStrings.xml><?xml version="1.0" encoding="utf-8"?>
<sst xmlns="http://schemas.openxmlformats.org/spreadsheetml/2006/main" count="962" uniqueCount="335">
  <si>
    <t xml:space="preserve">CÔNG TY TNHH TƯ VẤN THIẾT KẾ NỘI THẤT VÀ XÂY DỰNG JAMA </t>
  </si>
  <si>
    <t xml:space="preserve">Hotline: 070.56.23456 </t>
  </si>
  <si>
    <t>MST: 0314540969</t>
  </si>
  <si>
    <t>Website: www.jamahome.vn</t>
  </si>
  <si>
    <t>JAMA kính gửi đến quý khách hàng bảng báo giá tham khảo theo kích thước dưới đây.</t>
  </si>
  <si>
    <t>STT</t>
  </si>
  <si>
    <t>Hạng mục</t>
  </si>
  <si>
    <t>Hình ảnh minh họa</t>
  </si>
  <si>
    <t>Kích thước (mm)</t>
  </si>
  <si>
    <t>ĐVT</t>
  </si>
  <si>
    <t>KL</t>
  </si>
  <si>
    <t>SL</t>
  </si>
  <si>
    <t>Đơn giá</t>
  </si>
  <si>
    <t>Thành tiền</t>
  </si>
  <si>
    <t>Ghi chú vật liệu</t>
  </si>
  <si>
    <t>Dài</t>
  </si>
  <si>
    <t>Sâu</t>
  </si>
  <si>
    <t>Cao</t>
  </si>
  <si>
    <t>A</t>
  </si>
  <si>
    <t>THÁO DỠ</t>
  </si>
  <si>
    <t>gói</t>
  </si>
  <si>
    <t>m2</t>
  </si>
  <si>
    <t>gói</t>
  </si>
  <si>
    <t>Gói bao che + lót bạt thi công</t>
  </si>
  <si>
    <t>Vận chuyển xà bần, rác xuống nơi tập kết và lên xe vận chuyển</t>
  </si>
  <si>
    <t>công</t>
  </si>
  <si>
    <t>Tính theo thực tế.</t>
  </si>
  <si>
    <t>Xe vận chuyển rác + xà bần</t>
  </si>
  <si>
    <t>xe</t>
  </si>
  <si>
    <t>HOÀN THIỆN XÂY DỰNG</t>
  </si>
  <si>
    <t>I</t>
  </si>
  <si>
    <t>Xi măng Hà Tiên/ Insee.</t>
  </si>
  <si>
    <t>Gạch ống Tuynel, Xi măng Hà Tiên/ Insee.</t>
  </si>
  <si>
    <t>Xi măng Hà Tiên. Cán dày 3-5 cm.</t>
  </si>
  <si>
    <t xml:space="preserve">Xi măng Hà Tiên. </t>
  </si>
  <si>
    <t>Xi măng Hà Tiên.</t>
  </si>
  <si>
    <t>Keo Weber Thái Lan/ Cá sấu.</t>
  </si>
  <si>
    <t>md</t>
  </si>
  <si>
    <r>
      <rPr>
        <sz val="18"/>
        <rFont val="Times New Roman"/>
        <family val="1"/>
      </rPr>
      <t xml:space="preserve">Theo gạch nền. Nhân công ốp len nổi + vật tư phụ. </t>
    </r>
    <r>
      <rPr>
        <b/>
        <sz val="18"/>
        <rFont val="Times New Roman"/>
        <family val="1"/>
      </rPr>
      <t>Khối lượng vật tư hao hụt 10% so với thực tế.</t>
    </r>
  </si>
  <si>
    <t>Xương nhôm, tấm Yoshino (hoặc tương đương) 9mm, đóng hệ 400x800mm.</t>
  </si>
  <si>
    <t>Đóng trần thạch cao chống ẩm trong WC</t>
  </si>
  <si>
    <t>Xương nhôm, tấm Yoshino 9mm chống ẩm, đóng hệ 400x800mm.</t>
  </si>
  <si>
    <t>cái</t>
  </si>
  <si>
    <t>Thạch cao 1 lớp 600x600 khung viền nhôm.</t>
  </si>
  <si>
    <t>Khối lượng nghiệm thu theo thực tế.</t>
  </si>
  <si>
    <t>Sơn trần trong nhà</t>
  </si>
  <si>
    <r>
      <rPr>
        <sz val="18"/>
        <rFont val="Times New Roman"/>
        <family val="1"/>
      </rPr>
      <t xml:space="preserve">Bột trét Jotun + Sơn mới - Sơn Jotun Jotaplast. Quy cách sơn 1 lớp lót, 2 lớp hoàn thiện.
</t>
    </r>
    <r>
      <rPr>
        <b/>
        <sz val="18"/>
        <rFont val="Times New Roman"/>
        <family val="1"/>
      </rPr>
      <t>Khối lượng nghiệm thu theo thực tế.</t>
    </r>
  </si>
  <si>
    <t>cái</t>
  </si>
  <si>
    <t>CỬA - ĐÀ CỬA - NGẠCH CỬA</t>
  </si>
  <si>
    <t>bộ</t>
  </si>
  <si>
    <t>HỆ THỐNG M.E</t>
  </si>
  <si>
    <t>Đi hệ thống mạng/ WIFI cho các phòng</t>
  </si>
  <si>
    <t>note</t>
  </si>
  <si>
    <t>Gói thiết bị điện toàn nhà</t>
  </si>
  <si>
    <t>Gói Dự Trù</t>
  </si>
  <si>
    <r>
      <rPr>
        <sz val="18"/>
        <rFont val="Times New Roman"/>
        <family val="1"/>
      </rPr>
      <t xml:space="preserve">CB điện, ổ cắm, công tắc, hộp điện,…Panasonic.
</t>
    </r>
    <r>
      <rPr>
        <b/>
        <i/>
        <sz val="18"/>
        <color theme="1"/>
        <rFont val="Times New Roman"/>
        <family val="1"/>
      </rPr>
      <t>Nghiệm thu thực tế hoặc khách cung cấp</t>
    </r>
    <r>
      <rPr>
        <sz val="18"/>
        <rFont val="Times New Roman"/>
        <family val="1"/>
      </rPr>
      <t>.</t>
    </r>
  </si>
  <si>
    <r>
      <rPr>
        <sz val="18"/>
        <color theme="1"/>
        <rFont val="Times New Roman"/>
        <family val="1"/>
      </rPr>
      <t xml:space="preserve">Thương hiệu </t>
    </r>
    <r>
      <rPr>
        <b/>
        <sz val="18"/>
        <color theme="1"/>
        <rFont val="Times New Roman"/>
        <family val="1"/>
      </rPr>
      <t xml:space="preserve">MPE. </t>
    </r>
    <r>
      <rPr>
        <sz val="18"/>
        <color theme="1"/>
        <rFont val="Times New Roman"/>
        <family val="1"/>
      </rPr>
      <t xml:space="preserve">
1 ánh sáng đèn.
</t>
    </r>
    <r>
      <rPr>
        <b/>
        <sz val="18"/>
        <color theme="1"/>
        <rFont val="Times New Roman"/>
        <family val="1"/>
      </rPr>
      <t>Khối lượng nghiệm thu theo thực tế.</t>
    </r>
  </si>
  <si>
    <t>CĐT lựa chọn mẫu sau.</t>
  </si>
  <si>
    <t>Đi đường ống hút mùi bếp</t>
  </si>
  <si>
    <t>Bồn cầu 1 khối</t>
  </si>
  <si>
    <t>Ưu tiên CĐT cung cấp.</t>
  </si>
  <si>
    <t>Vòi sịt bồn cầu</t>
  </si>
  <si>
    <t>Bộ xả lavabo</t>
  </si>
  <si>
    <r>
      <rPr>
        <sz val="18"/>
        <rFont val="Times New Roman"/>
        <family val="1"/>
      </rPr>
      <t xml:space="preserve">Phểu chống hôi - Inox 304.
</t>
    </r>
    <r>
      <rPr>
        <b/>
        <sz val="18"/>
        <rFont val="Times New Roman"/>
        <family val="1"/>
      </rPr>
      <t>Khối lượng nghiệm thu theo thực tế.</t>
    </r>
  </si>
  <si>
    <t>Thi công ống đồng máy lạnh dành cho máy 1hp -&gt; 1,5hp</t>
  </si>
  <si>
    <r>
      <rPr>
        <sz val="18"/>
        <rFont val="Times New Roman"/>
        <family val="1"/>
      </rPr>
      <t xml:space="preserve">Ống đồng Thái Lan 6-10, 7 dem, gen cách nhiệt (gen đôi trắng).
</t>
    </r>
    <r>
      <rPr>
        <b/>
        <sz val="18"/>
        <rFont val="Times New Roman"/>
        <family val="1"/>
      </rPr>
      <t>Khối lượng nghiệm thu theo thực tế.</t>
    </r>
  </si>
  <si>
    <t>Thi công ống thoát nước ngưng</t>
  </si>
  <si>
    <r>
      <rPr>
        <sz val="18"/>
        <rFont val="Times New Roman"/>
        <family val="1"/>
      </rPr>
      <t xml:space="preserve">Ống thoát nước ngưng PVC 21mm (chỉ bọc cách nhiệt với ống đi ngang trên trần).
</t>
    </r>
    <r>
      <rPr>
        <b/>
        <sz val="18"/>
        <rFont val="Times New Roman"/>
        <family val="1"/>
      </rPr>
      <t>Khối lượng nghiệm thu theo thực tế.</t>
    </r>
  </si>
  <si>
    <t>HẠNG MỤC KHÁC</t>
  </si>
  <si>
    <t>Vệ sinh công nghiệp</t>
  </si>
  <si>
    <t>Ghi chú:</t>
  </si>
  <si>
    <t>- Thi công trong thời gian …. ngày kể từ ngày ký hợp đồng và nhận tiền đặt cọc (không tính Thứ 7, Chủ nhật và các ngày Lễ, Tết)
- Thời gian bảo hành công trình là 02 năm đối với gỗ mdf thường và 5 năm đối với gỗ mdf An Cường kể từ ngày bàn giao và nghiệm thu. Nếu có những sự cố về kỹ thuật do lỗi của nhà sản xuất thì bên B chịu trách nhiệm sửa chữa khắc phục cho bên A.
- Khối lượng sẽ được nghiệm thu theo thực tế ngoài công trình khi hoàn thiện</t>
  </si>
  <si>
    <t>- Bảng báo giá có giá trị trong vòng 10 ngày
- Giá trên đã bao gồm phí vận chuyển lắp đặt tại HCM,bảo hành 2 năm
- Những hạng mục không có trong báo giá sẽ được tính phát sinh
- Hàng liên kết âm, ray bi, bản lề ray trượt giảm chấn, tay nắm, bảo hành 1 năm</t>
  </si>
  <si>
    <t>Tháo dỡ vách tường 100 hiện trạng</t>
  </si>
  <si>
    <t>Sủi tường hiện trạng</t>
  </si>
  <si>
    <t>Tháo dỡ vách tường 200 hiện trạng</t>
  </si>
  <si>
    <r>
      <t xml:space="preserve">Nhân công và vật tư ốp </t>
    </r>
    <r>
      <rPr>
        <b/>
        <sz val="18"/>
        <color rgb="FF0070C0"/>
        <rFont val="Times New Roman"/>
        <family val="1"/>
      </rPr>
      <t xml:space="preserve">TƯỜNG GẠCH 300X600  </t>
    </r>
  </si>
  <si>
    <r>
      <t xml:space="preserve">Bột trét Jotun + Sơn mới - Sơn Jotun Jotaplast. Quy cách sơn 1 lớp lót, 2 lớp hoàn thiện.
</t>
    </r>
    <r>
      <rPr>
        <b/>
        <sz val="18"/>
        <rFont val="Times New Roman"/>
        <family val="1"/>
      </rPr>
      <t>Khối lượng nghiệm thu theo thực tế.</t>
    </r>
  </si>
  <si>
    <t xml:space="preserve">Lavabo </t>
  </si>
  <si>
    <t>Vòi lavabo</t>
  </si>
  <si>
    <t>Sen tắm</t>
  </si>
  <si>
    <t>Đà đúc sẵn hoặc đổ trực tiếp.</t>
  </si>
  <si>
    <t>Địa chỉ Xưởng: 71 Quốc Lộ 13, Phường Hiệp Bình Chánh, TP. Thủ Đức, TP. Hồ Chí Minh.</t>
  </si>
  <si>
    <t>Tô tường xây mới theo thiết kế</t>
  </si>
  <si>
    <t>Tháo dỡ tới cotg bê tông để chống thấm.</t>
  </si>
  <si>
    <t>Chống thấm 2 lớp Superflex Cát Tường hoặc Sikalatex.</t>
  </si>
  <si>
    <t xml:space="preserve">gói </t>
  </si>
  <si>
    <t>Thêm trục cấp thoát mới toàn nhà + trục nóng lạnh</t>
  </si>
  <si>
    <t>Nắp thăm trần thạch cao</t>
  </si>
  <si>
    <r>
      <t xml:space="preserve">Ưu tiên CĐT cung cấp. </t>
    </r>
    <r>
      <rPr>
        <b/>
        <sz val="18"/>
        <color theme="1"/>
        <rFont val="Times New Roman"/>
        <family val="1"/>
      </rPr>
      <t xml:space="preserve">Khối lượng vật tư hao hụt 10% so với thực tế.
</t>
    </r>
    <r>
      <rPr>
        <sz val="18"/>
        <color theme="1"/>
        <rFont val="Times New Roman"/>
        <family val="1"/>
      </rPr>
      <t>Gạch 300x600 mẫu chỉ định.</t>
    </r>
  </si>
  <si>
    <r>
      <t xml:space="preserve">Ưu tiên CĐT cung cấp. </t>
    </r>
    <r>
      <rPr>
        <b/>
        <sz val="18"/>
        <color theme="1"/>
        <rFont val="Times New Roman"/>
        <family val="1"/>
      </rPr>
      <t xml:space="preserve">Khối lượng vật tư hao hụt 10% so với thực tế.
</t>
    </r>
    <r>
      <rPr>
        <sz val="18"/>
        <color theme="1"/>
        <rFont val="Times New Roman"/>
        <family val="1"/>
      </rPr>
      <t>Gạch 600x600 mẫu chỉ định.</t>
    </r>
  </si>
  <si>
    <t xml:space="preserve">B </t>
  </si>
  <si>
    <t>Gạch ốp tường WC</t>
  </si>
  <si>
    <r>
      <t xml:space="preserve">Nhân công và vật tư lát </t>
    </r>
    <r>
      <rPr>
        <b/>
        <sz val="18"/>
        <color rgb="FF0070C0"/>
        <rFont val="Times New Roman"/>
        <family val="1"/>
      </rPr>
      <t>SÀN GẠCH 600X600, 300X600</t>
    </r>
  </si>
  <si>
    <t>II</t>
  </si>
  <si>
    <r>
      <t xml:space="preserve">Bột trét Jotun + Sơn mới - Sơn Tough Shield. Quy cách sơn 1 lớp lót, 2 lớp hoàn thiện.
</t>
    </r>
    <r>
      <rPr>
        <b/>
        <sz val="18"/>
        <color theme="1"/>
        <rFont val="Times New Roman"/>
        <family val="1"/>
      </rPr>
      <t>Khối lượng nghiệm thu theo thực tế.</t>
    </r>
  </si>
  <si>
    <t>III</t>
  </si>
  <si>
    <t>IV</t>
  </si>
  <si>
    <r>
      <t xml:space="preserve">- Bao gồm vật tư, nhân công thi công phần thô hệ thống ống cấp nước nóng, nước lạnh, ống thoát nước sinh hoạt.
- Bao gồm phần ống kết nối đến trục đứng thoát nước chính.
- Ống cấp nước lạnh (đi kèm van, phụ kiện) là </t>
    </r>
    <r>
      <rPr>
        <b/>
        <sz val="18"/>
        <color theme="1"/>
        <rFont val="Times New Roman"/>
        <family val="1"/>
      </rPr>
      <t>UPVC PN6</t>
    </r>
    <r>
      <rPr>
        <sz val="18"/>
        <color theme="1"/>
        <rFont val="Times New Roman"/>
        <family val="1"/>
      </rPr>
      <t xml:space="preserve">, ống cấp nước nóng (đi kèm van, phụ kiện) là </t>
    </r>
    <r>
      <rPr>
        <b/>
        <sz val="18"/>
        <color theme="1"/>
        <rFont val="Times New Roman"/>
        <family val="1"/>
      </rPr>
      <t>PPR PN10</t>
    </r>
    <r>
      <rPr>
        <sz val="18"/>
        <color theme="1"/>
        <rFont val="Times New Roman"/>
        <family val="1"/>
      </rPr>
      <t>.</t>
    </r>
  </si>
  <si>
    <r>
      <t xml:space="preserve">- Bao gồm vật tư, nhân công thi công phần thô hệ thống ống cấp nước nóng, nóng lạnh và ống thoát nước trong WC.
- Ống cấp nước lạnh (đi kèm van, phụ kiện) là </t>
    </r>
    <r>
      <rPr>
        <b/>
        <sz val="18"/>
        <color theme="1"/>
        <rFont val="Times New Roman"/>
        <family val="1"/>
      </rPr>
      <t>UPVC PN6</t>
    </r>
    <r>
      <rPr>
        <sz val="18"/>
        <color theme="1"/>
        <rFont val="Times New Roman"/>
        <family val="1"/>
      </rPr>
      <t>, ống cấp nước nóng (đi kèm van, phụ kiện) là</t>
    </r>
    <r>
      <rPr>
        <b/>
        <sz val="18"/>
        <color theme="1"/>
        <rFont val="Times New Roman"/>
        <family val="1"/>
      </rPr>
      <t xml:space="preserve"> PPR PN10</t>
    </r>
    <r>
      <rPr>
        <sz val="18"/>
        <color theme="1"/>
        <rFont val="Times New Roman"/>
        <family val="1"/>
      </rPr>
      <t>.</t>
    </r>
  </si>
  <si>
    <r>
      <t xml:space="preserve">- Bao gồm vật tư, nhân công thi công phần thô hệ thống ống cấp nước lạnh, ống thoát nước sinh hoạt.
- Bao gồm phần ống kết nối đến trục đứng thoát nước chính.
- Ống cấp nước lạnh (đi kèm van, phụ kiện) là </t>
    </r>
    <r>
      <rPr>
        <b/>
        <sz val="18"/>
        <color theme="1"/>
        <rFont val="Times New Roman"/>
        <family val="1"/>
      </rPr>
      <t>UPVC PN6.</t>
    </r>
  </si>
  <si>
    <t>V</t>
  </si>
  <si>
    <t>TỔNG CHI PHÍ PHẦN THÔ</t>
  </si>
  <si>
    <t xml:space="preserve">BẢNG BÁO GIÁ </t>
  </si>
  <si>
    <t>Tầng 1</t>
  </si>
  <si>
    <t>Tầng 2</t>
  </si>
  <si>
    <t>WC 2</t>
  </si>
  <si>
    <t>WC 3</t>
  </si>
  <si>
    <t>Tận dụng xà bần nâng nền (70 % xà bần và 30% cát san lấp), đã bao gồm chi phí nhân công ban nền, đầm tay + vào nước.</t>
  </si>
  <si>
    <t>Gạch nền phòng khách - bếp</t>
  </si>
  <si>
    <t>Vệ sinh đường ron - đi keo đường ron gạch trong WC</t>
  </si>
  <si>
    <t>Sơn tường trong nhà</t>
  </si>
  <si>
    <t>TẦNG 1</t>
  </si>
  <si>
    <t>TẦNG 2</t>
  </si>
  <si>
    <t>Nắp thăm trần thạch cao trong WC</t>
  </si>
  <si>
    <t>Phòng ngủ 2</t>
  </si>
  <si>
    <t>Lan can ban công</t>
  </si>
  <si>
    <t>Khung nhôm hệ xingfa Việt Nam 55 dày 1.4 ly màu đen, kính cường lực mờ dày 8mm. Phụ kiện Kinlong chính hãng, keo, vít.</t>
  </si>
  <si>
    <t>Khung nhôm hệ xingfa Việt Nam 55 dày 1.4 ly màu đen, kính cường lực trong suốt dày 8mm. Phụ kiện Kinlong chính hãng, keo, vít.</t>
  </si>
  <si>
    <t>VI</t>
  </si>
  <si>
    <t>VII</t>
  </si>
  <si>
    <t xml:space="preserve"> </t>
  </si>
  <si>
    <t>Phòng ngủ 3</t>
  </si>
  <si>
    <t>Ban công trước</t>
  </si>
  <si>
    <t>Tháo dỡ + di dời các đồ nội thất trong nhà hiện trạng</t>
  </si>
  <si>
    <t>ƯU TIÊN CĐT XỬ LÝ.</t>
  </si>
  <si>
    <t>Tháo dỡ cầu thang bê tông hiện trạng</t>
  </si>
  <si>
    <t>Seno mái</t>
  </si>
  <si>
    <t xml:space="preserve">Xây tô hộp gen </t>
  </si>
  <si>
    <t xml:space="preserve">Chống thấm WC </t>
  </si>
  <si>
    <t>Gạch nền WC 2</t>
  </si>
  <si>
    <t>Gạch nền WC 3</t>
  </si>
  <si>
    <t>Gạch ốp tường WC 3</t>
  </si>
  <si>
    <t>Gạch ốp tường WC 2</t>
  </si>
  <si>
    <t xml:space="preserve">Vệ sinh đường ron - đi keo đường ron gạch trong WC </t>
  </si>
  <si>
    <t>Đóng trần thạch cao trong nhà</t>
  </si>
  <si>
    <t xml:space="preserve">Len gạch tường 10x60 - ốp len nổi </t>
  </si>
  <si>
    <t>MÁI</t>
  </si>
  <si>
    <t>hộc</t>
  </si>
  <si>
    <t>Gạch ống Tuynel, Xi măng Hà Tiên/ Insee.
Đổ đan bê tông.</t>
  </si>
  <si>
    <r>
      <t xml:space="preserve">Xây tường 100 theo bố trí mới 
</t>
    </r>
    <r>
      <rPr>
        <b/>
        <sz val="18"/>
        <color rgb="FF0070C0"/>
        <rFont val="Times New Roman"/>
        <family val="1"/>
      </rPr>
      <t>- TƯỜNG MÁI</t>
    </r>
  </si>
  <si>
    <t>Đá trắng nhân tạo vân mây.</t>
  </si>
  <si>
    <t xml:space="preserve">Tô cầu thang </t>
  </si>
  <si>
    <t>Lan can cầu thang</t>
  </si>
  <si>
    <t>GCLD ván khuôn, cốt thép, đổ bê tông cầu thang</t>
  </si>
  <si>
    <t>Bản sàn 100, sắt Việt - Nhật phi 8, phi 10 đan nhịp a(150-200), bê tông M250.</t>
  </si>
  <si>
    <t>Xây bậc cầu thang (gạch đinh)</t>
  </si>
  <si>
    <r>
      <t xml:space="preserve">Sơn nước cầu thang
</t>
    </r>
    <r>
      <rPr>
        <i/>
        <sz val="18"/>
        <rFont val="Times New Roman"/>
        <family val="1"/>
      </rPr>
      <t xml:space="preserve">(mặt đáy và mặt hông) </t>
    </r>
  </si>
  <si>
    <r>
      <rPr>
        <b/>
        <sz val="18"/>
        <color rgb="FF000000"/>
        <rFont val="Times New Roman"/>
        <family val="1"/>
      </rPr>
      <t>Tận dụng cửa gỗ hiện trạng.</t>
    </r>
    <r>
      <rPr>
        <sz val="18"/>
        <color rgb="FF000000"/>
        <rFont val="Times New Roman"/>
        <family val="1"/>
      </rPr>
      <t xml:space="preserve">
Nhân công tháo - lắp cửa để thi công.</t>
    </r>
  </si>
  <si>
    <t>Nhân công + vật tư phụ.</t>
  </si>
  <si>
    <t>Diềm tôn</t>
  </si>
  <si>
    <r>
      <t xml:space="preserve">Tole 4 zem.
</t>
    </r>
    <r>
      <rPr>
        <b/>
        <sz val="18"/>
        <color rgb="FF000000"/>
        <rFont val="Times New Roman"/>
        <family val="1"/>
      </rPr>
      <t>Khối lượng nghiệm thu theo thực tế.</t>
    </r>
  </si>
  <si>
    <t>Bồn nước 1000L</t>
  </si>
  <si>
    <t>Bồn nước inox 304 Tân Á Đại Thành.</t>
  </si>
  <si>
    <t>Chân bồn nước</t>
  </si>
  <si>
    <t>Thép V5 dày 3mm, D1450, S100, C1000.</t>
  </si>
  <si>
    <t>Máy năng lượng 130L</t>
  </si>
  <si>
    <t>Máy NLMT do bên NLMT lắp đặt</t>
  </si>
  <si>
    <t>Máy năng lượng mặt trời Đại Thành.</t>
  </si>
  <si>
    <t>Máy bơm tăng áp - đẩy áp</t>
  </si>
  <si>
    <t>Thương hiệu Nanoco.</t>
  </si>
  <si>
    <t>- Bao gồm vật tư, nhân công thi công phần thô hệ thống ống thoát nước mưa.
- Đi ống upvc D90.</t>
  </si>
  <si>
    <t>Đấu nối máy bơm tăng áp</t>
  </si>
  <si>
    <t>Di dời cục nóng theo thiết kế mới</t>
  </si>
  <si>
    <t>VIII</t>
  </si>
  <si>
    <t>Lấy cotg cán nền seno mái</t>
  </si>
  <si>
    <t xml:space="preserve">Cửa đi WC </t>
  </si>
  <si>
    <t>Đục nắp đan kiểm tra bể phốt, đổ lại nắp đan</t>
  </si>
  <si>
    <t>Kiểm tra xà gồ hiện trạng</t>
  </si>
  <si>
    <t>Khảo sát báo giá sau</t>
  </si>
  <si>
    <r>
      <t>- Bao gồm vật tư, nhân công thi công phần thô hệ thống ống cấp nước nóng, nóng lạnh, ống thoát nước sinh hoạt và ống thông hơi</t>
    </r>
    <r>
      <rPr>
        <b/>
        <sz val="18"/>
        <rFont val="Times New Roman"/>
        <family val="1"/>
      </rPr>
      <t xml:space="preserve"> (Không bao gồm thoát nước mưa).</t>
    </r>
    <r>
      <rPr>
        <sz val="18"/>
        <rFont val="Times New Roman"/>
        <family val="1"/>
      </rPr>
      <t xml:space="preserve">
- Bao gồm phần ống kết nối hiện hữu hoặc kết nối đến bể tự hoại, hố ga.
- Ống cấp nước lạnh (đi kèm van, phụ kiện) là </t>
    </r>
    <r>
      <rPr>
        <b/>
        <sz val="18"/>
        <rFont val="Times New Roman"/>
        <family val="1"/>
      </rPr>
      <t>UPVC PN6</t>
    </r>
    <r>
      <rPr>
        <sz val="18"/>
        <rFont val="Times New Roman"/>
        <family val="1"/>
      </rPr>
      <t>, ống cấp nước nóng (đi kèm van, phụ kiện) là</t>
    </r>
    <r>
      <rPr>
        <b/>
        <sz val="18"/>
        <rFont val="Times New Roman"/>
        <family val="1"/>
      </rPr>
      <t xml:space="preserve"> PPR PN10</t>
    </r>
    <r>
      <rPr>
        <sz val="18"/>
        <rFont val="Times New Roman"/>
        <family val="1"/>
      </rPr>
      <t>.
- Bao gồm đấu nối bồn nước trên mái.</t>
    </r>
  </si>
  <si>
    <r>
      <rPr>
        <b/>
        <i/>
        <sz val="18"/>
        <color theme="1"/>
        <rFont val="Times New Roman"/>
        <family val="1"/>
      </rPr>
      <t xml:space="preserve">Toàn bộ tháo bỏ.
</t>
    </r>
    <r>
      <rPr>
        <b/>
        <i/>
        <sz val="18"/>
        <color rgb="FFFF0000"/>
        <rFont val="Times New Roman"/>
        <family val="1"/>
      </rPr>
      <t>Jama xử lý sau tháo dỡ</t>
    </r>
  </si>
  <si>
    <t>MẪU ĐỀ XUẤT</t>
  </si>
  <si>
    <r>
      <t>Thương hiệu</t>
    </r>
    <r>
      <rPr>
        <b/>
        <sz val="18"/>
        <color rgb="FF000000"/>
        <rFont val="Times New Roman"/>
        <family val="1"/>
      </rPr>
      <t xml:space="preserve"> EUROTO</t>
    </r>
    <r>
      <rPr>
        <sz val="18"/>
        <color rgb="FF000000"/>
        <rFont val="Times New Roman"/>
        <family val="1"/>
      </rPr>
      <t xml:space="preserve">. </t>
    </r>
  </si>
  <si>
    <t>CẦU THANG</t>
  </si>
  <si>
    <t>Nhân công + vật tư ốp lát thẳng.
Sàn nhựa giả gỗ hèm khóa 4mm.</t>
  </si>
  <si>
    <t>Len, nẹp nhựa</t>
  </si>
  <si>
    <r>
      <t xml:space="preserve">Len, nẹp nhựa. Nhân công + vật tư.
</t>
    </r>
    <r>
      <rPr>
        <b/>
        <sz val="18"/>
        <rFont val="Times New Roman"/>
        <family val="1"/>
      </rPr>
      <t>Khối lượng vật tư hao hụt 10% so với thực tế.</t>
    </r>
  </si>
  <si>
    <r>
      <t xml:space="preserve">Chống thấm 2 lớp Superflex Cát Tường hoặc Sikalatex.
</t>
    </r>
    <r>
      <rPr>
        <b/>
        <sz val="18"/>
        <rFont val="Times New Roman"/>
        <family val="1"/>
      </rPr>
      <t>Khối lượng nghiệm thu theo thực tế.</t>
    </r>
  </si>
  <si>
    <t>SÂN TRƯỚC VÀ MẶT TIỀN</t>
  </si>
  <si>
    <t>Bổ 2 trụ cổng mặt tiền</t>
  </si>
  <si>
    <t>Đà cổng</t>
  </si>
  <si>
    <t>Đà 200*300 sắt Việt Nhật, Betong mac 250.</t>
  </si>
  <si>
    <r>
      <t xml:space="preserve">Nhân công và vật tư lát </t>
    </r>
    <r>
      <rPr>
        <b/>
        <sz val="18"/>
        <color rgb="FF0070C0"/>
        <rFont val="Times New Roman"/>
        <family val="1"/>
      </rPr>
      <t>SÀN GẠCH 600X600</t>
    </r>
  </si>
  <si>
    <t>Vệ sinh đường ron - đi keo đường ron gạch mặt tiền</t>
  </si>
  <si>
    <t>Sơn nhấn màu chỉ định.</t>
  </si>
  <si>
    <t>gói dự 
trù</t>
  </si>
  <si>
    <t xml:space="preserve">MẪU ĐỀ XUẤT </t>
  </si>
  <si>
    <t>Sơn nước ngoại thất mặt tiền</t>
  </si>
  <si>
    <t>Đá ốp bậc tâm cấp - mặt đứng</t>
  </si>
  <si>
    <t>Cột bê tông 200x200 sắt Việt Nhật phi 14, betong M250.</t>
  </si>
  <si>
    <t>Xây bù + tô cột cổng + đà cổng</t>
  </si>
  <si>
    <r>
      <t xml:space="preserve">Xà gồ sắt hộp mạ kẽm 4x8x1,4mm. Mái tôn Việt Nhật 4 zem 3 lớp.
</t>
    </r>
    <r>
      <rPr>
        <b/>
        <sz val="18"/>
        <rFont val="Times New Roman"/>
        <family val="1"/>
      </rPr>
      <t>Khối lượng nghiệm thu theo thực tế.</t>
    </r>
  </si>
  <si>
    <t>Trục thoát nước mưa trên mái</t>
  </si>
  <si>
    <t>Nẹp V</t>
  </si>
  <si>
    <t>Khung sắt xương V25.
Tấm lam nhựa giả gỗ ngoài trời mẫu chỉ định.</t>
  </si>
  <si>
    <r>
      <t xml:space="preserve">Nẹp V viền mẫu chỉ định.
</t>
    </r>
    <r>
      <rPr>
        <b/>
        <sz val="18"/>
        <rFont val="Times New Roman"/>
        <family val="1"/>
      </rPr>
      <t>Khối lượng nghiệm thu theo thực tế.</t>
    </r>
  </si>
  <si>
    <r>
      <t xml:space="preserve">Vật tư + nhân công thăm dò, đổ lại nắp đan.
</t>
    </r>
    <r>
      <rPr>
        <sz val="18"/>
        <color rgb="FFFF0000"/>
        <rFont val="Times New Roman"/>
        <family val="1"/>
      </rPr>
      <t>Không bao gồm hút bể phốt</t>
    </r>
    <r>
      <rPr>
        <sz val="18"/>
        <rFont val="Times New Roman"/>
        <family val="1"/>
      </rPr>
      <t>.</t>
    </r>
  </si>
  <si>
    <t>Đèn gắn tường cổng</t>
  </si>
  <si>
    <t>Chỉ đá bậc tam cấp</t>
  </si>
  <si>
    <t>Gia cố ti sắt cho quạt trần phòng khách</t>
  </si>
  <si>
    <t>Quạt trần</t>
  </si>
  <si>
    <t>Tháo dỡ sàn nhựa giả gỗ</t>
  </si>
  <si>
    <t>Tầng 3</t>
  </si>
  <si>
    <t>Tháo dỡ gạch nền và len chân tường hiện trạng</t>
  </si>
  <si>
    <t xml:space="preserve">Tháo dỡ gạch ốp tường hiện trạng </t>
  </si>
  <si>
    <t>Tháo dỡ trần thạch cao trong nhà hiện trạng</t>
  </si>
  <si>
    <r>
      <t xml:space="preserve">- Tháo dỡ hệ tủ bếp 
- Tháo dỡ thiết bị vệ sinh WC
- Tháo dỡ các cửa hiện trạng </t>
    </r>
    <r>
      <rPr>
        <i/>
        <sz val="18"/>
        <rFont val="Times New Roman"/>
        <family val="1"/>
      </rPr>
      <t>(không bao gồm các cửa tận dụng)</t>
    </r>
  </si>
  <si>
    <r>
      <rPr>
        <b/>
        <i/>
        <sz val="18"/>
        <color theme="1"/>
        <rFont val="Times New Roman"/>
        <family val="1"/>
      </rPr>
      <t xml:space="preserve">Toàn bộ tháo bỏ.
</t>
    </r>
    <r>
      <rPr>
        <i/>
        <sz val="18"/>
        <color theme="1"/>
        <rFont val="Times New Roman"/>
        <family val="1"/>
      </rPr>
      <t xml:space="preserve">- Số lượng cửa tháo bỏ: 
+ 
</t>
    </r>
    <r>
      <rPr>
        <b/>
        <i/>
        <sz val="18"/>
        <color theme="1"/>
        <rFont val="Times New Roman"/>
        <family val="1"/>
      </rPr>
      <t>Các cửa đi phòng ngủ tận dụng lại.</t>
    </r>
    <r>
      <rPr>
        <i/>
        <sz val="18"/>
        <color theme="1"/>
        <rFont val="Times New Roman"/>
        <family val="1"/>
      </rPr>
      <t xml:space="preserve">
</t>
    </r>
    <r>
      <rPr>
        <b/>
        <i/>
        <sz val="18"/>
        <color rgb="FFFF0000"/>
        <rFont val="Times New Roman"/>
        <family val="1"/>
      </rPr>
      <t>Jama xử lý sau tháo dỡ</t>
    </r>
  </si>
  <si>
    <t xml:space="preserve">- </t>
  </si>
  <si>
    <t xml:space="preserve">Nâng cotg nền </t>
  </si>
  <si>
    <t>Đà 100x200 sắt Việt Nhật, Betong mac 250.</t>
  </si>
  <si>
    <t>Đà bê tông đỡ tường xây mới</t>
  </si>
  <si>
    <t>Gạch nền WC</t>
  </si>
  <si>
    <t xml:space="preserve">Len gạch tường 10x60 trong nhà - ốp len nổi </t>
  </si>
  <si>
    <r>
      <t xml:space="preserve">Đóng vách thạch cao </t>
    </r>
    <r>
      <rPr>
        <i/>
        <sz val="18"/>
        <rFont val="Times New Roman"/>
        <family val="1"/>
      </rPr>
      <t>(1 mặt)</t>
    </r>
    <r>
      <rPr>
        <b/>
        <sz val="18"/>
        <rFont val="Times New Roman"/>
        <family val="1"/>
      </rPr>
      <t xml:space="preserve"> </t>
    </r>
  </si>
  <si>
    <t xml:space="preserve">Tạo hộc âm trong WC </t>
  </si>
  <si>
    <t>Tạo hộc âm trong WC</t>
  </si>
  <si>
    <t xml:space="preserve">Chống thấm ban công </t>
  </si>
  <si>
    <t xml:space="preserve">Lấy cotg cán nền </t>
  </si>
  <si>
    <t xml:space="preserve">Gạch nền phòng ngủ </t>
  </si>
  <si>
    <t xml:space="preserve">Gạch nền ban công </t>
  </si>
  <si>
    <t xml:space="preserve">Vệ sinh đường ron - đi keo đường ron gạch tầng 2 </t>
  </si>
  <si>
    <t>Vệ sinh đường ron - đi keo đường ron gạch tầng 1</t>
  </si>
  <si>
    <r>
      <t xml:space="preserve">Sàn nhựa giả gỗ
</t>
    </r>
    <r>
      <rPr>
        <i/>
        <sz val="18"/>
        <rFont val="Times New Roman"/>
        <family val="1"/>
      </rPr>
      <t>ốp lát thẳng</t>
    </r>
  </si>
  <si>
    <r>
      <t>Sàn nhựa giả gỗ</t>
    </r>
    <r>
      <rPr>
        <b/>
        <sz val="18"/>
        <color rgb="FF0070C0"/>
        <rFont val="Times New Roman"/>
        <family val="1"/>
      </rPr>
      <t xml:space="preserve"> </t>
    </r>
    <r>
      <rPr>
        <b/>
        <sz val="18"/>
        <rFont val="Times New Roman"/>
        <family val="1"/>
      </rPr>
      <t xml:space="preserve">
</t>
    </r>
    <r>
      <rPr>
        <i/>
        <sz val="18"/>
        <rFont val="Times New Roman"/>
        <family val="1"/>
      </rPr>
      <t>ốp lát thẳng</t>
    </r>
  </si>
  <si>
    <r>
      <t xml:space="preserve">Đóng vách thạch cao </t>
    </r>
    <r>
      <rPr>
        <i/>
        <sz val="18"/>
        <rFont val="Times New Roman"/>
        <family val="1"/>
      </rPr>
      <t>(1 mặt)</t>
    </r>
  </si>
  <si>
    <t>TẦNG 3</t>
  </si>
  <si>
    <t xml:space="preserve">Chống thấm seno mái </t>
  </si>
  <si>
    <t xml:space="preserve">Mái tôn </t>
  </si>
  <si>
    <t xml:space="preserve">Máng xối </t>
  </si>
  <si>
    <t>Gia cố sắt I cầu thang</t>
  </si>
  <si>
    <t>Len cầu thang</t>
  </si>
  <si>
    <t xml:space="preserve">Tô trám tường sau khi tháo dỡ gạch ốp tường mặt tiền </t>
  </si>
  <si>
    <t xml:space="preserve">Xây tường 100 theo bố trí mới </t>
  </si>
  <si>
    <t xml:space="preserve">Xây tường 200 theo bố trí mới </t>
  </si>
  <si>
    <t>Phụ thu sơn nhấn mặt tiền</t>
  </si>
  <si>
    <r>
      <t xml:space="preserve">Đu dây lăn trực tiếp chống thấm lên bề mặt tường.
Sơn chống thấm Jotun Waterguard màu chỉ định.
</t>
    </r>
    <r>
      <rPr>
        <b/>
        <sz val="18"/>
        <rFont val="Times New Roman"/>
        <family val="1"/>
      </rPr>
      <t>Khối lượng nghiệm thu theo thực tế.</t>
    </r>
  </si>
  <si>
    <t>VII.1</t>
  </si>
  <si>
    <t>VII.2</t>
  </si>
  <si>
    <t>VII.3</t>
  </si>
  <si>
    <t>Cửa đi</t>
  </si>
  <si>
    <t>Khung nhôm hệ xingfa Việt Nam 55 dày 1.4 ly màu đen, kính cường lực trong suốt dày 8mm. Phụ kiện Kinlong chính hãng, keo, vít.</t>
  </si>
  <si>
    <t xml:space="preserve">Cửa phòng ngủ </t>
  </si>
  <si>
    <t xml:space="preserve">Cửa sổ lùa </t>
  </si>
  <si>
    <t>Cửa nhựa Composite tiêu chuẩn.
Tay khóa gạt.</t>
  </si>
  <si>
    <r>
      <t xml:space="preserve">Đà cửa 100 - tô trám
</t>
    </r>
    <r>
      <rPr>
        <i/>
        <sz val="18"/>
        <rFont val="Times New Roman"/>
        <family val="1"/>
      </rPr>
      <t xml:space="preserve">- </t>
    </r>
  </si>
  <si>
    <r>
      <t xml:space="preserve">Đà cửa 200 - tô trám
</t>
    </r>
    <r>
      <rPr>
        <i/>
        <sz val="18"/>
        <rFont val="Times New Roman"/>
        <family val="1"/>
      </rPr>
      <t xml:space="preserve">- </t>
    </r>
  </si>
  <si>
    <r>
      <t xml:space="preserve">Ngạch đá 100
</t>
    </r>
    <r>
      <rPr>
        <i/>
        <sz val="18"/>
        <rFont val="Times New Roman"/>
        <family val="1"/>
      </rPr>
      <t xml:space="preserve">- </t>
    </r>
  </si>
  <si>
    <r>
      <t>Ngạch đá lớn</t>
    </r>
    <r>
      <rPr>
        <i/>
        <sz val="18"/>
        <rFont val="Times New Roman"/>
        <family val="1"/>
      </rPr>
      <t xml:space="preserve">
- </t>
    </r>
  </si>
  <si>
    <r>
      <t xml:space="preserve">Ngạch đá 200
</t>
    </r>
    <r>
      <rPr>
        <i/>
        <sz val="18"/>
        <rFont val="Times New Roman"/>
        <family val="1"/>
      </rPr>
      <t xml:space="preserve">- </t>
    </r>
  </si>
  <si>
    <t>Vách kính ngăn WC</t>
  </si>
  <si>
    <t>Bộ phụ kiện</t>
  </si>
  <si>
    <t>Kính cường lực 10mm trắng trong.</t>
  </si>
  <si>
    <t>Đi hệ thống điện và lắp đặt thiết bị điện tầng 1</t>
  </si>
  <si>
    <t>Đi hệ thống điện và lắp đặt thiết bị điện tầng 2</t>
  </si>
  <si>
    <t>Đi hệ thống điện và lắp đặt thiết bị điện tầng 3</t>
  </si>
  <si>
    <t xml:space="preserve">Đi hệ thống điện và lắp đặt thiết bị điện mặt tiền </t>
  </si>
  <si>
    <r>
      <t xml:space="preserve">Đèn downlight âm trần 9w
</t>
    </r>
    <r>
      <rPr>
        <i/>
        <sz val="18"/>
        <rFont val="Times New Roman"/>
        <family val="1"/>
      </rPr>
      <t xml:space="preserve">- </t>
    </r>
  </si>
  <si>
    <r>
      <t xml:space="preserve">Đèn downlight âm trần 12w
</t>
    </r>
    <r>
      <rPr>
        <i/>
        <sz val="18"/>
        <rFont val="Times New Roman"/>
        <family val="1"/>
      </rPr>
      <t>- WC</t>
    </r>
  </si>
  <si>
    <t>Đèn thả trần</t>
  </si>
  <si>
    <t>Đèn ốp mái che</t>
  </si>
  <si>
    <r>
      <t>Thương hiệu</t>
    </r>
    <r>
      <rPr>
        <b/>
        <sz val="18"/>
        <color theme="1"/>
        <rFont val="Times New Roman"/>
        <family val="1"/>
      </rPr>
      <t xml:space="preserve"> ANFACO.</t>
    </r>
  </si>
  <si>
    <t xml:space="preserve">Đèn ốp nổi trong nhà </t>
  </si>
  <si>
    <r>
      <t xml:space="preserve">Thương hiệu </t>
    </r>
    <r>
      <rPr>
        <b/>
        <sz val="18"/>
        <color theme="1"/>
        <rFont val="Times New Roman"/>
        <family val="1"/>
      </rPr>
      <t xml:space="preserve">MPE.
</t>
    </r>
    <r>
      <rPr>
        <sz val="18"/>
        <color theme="1"/>
        <rFont val="Times New Roman"/>
        <family val="1"/>
      </rPr>
      <t xml:space="preserve">1 chế độ sáng. </t>
    </r>
  </si>
  <si>
    <t>Đèn ốp trần ban công</t>
  </si>
  <si>
    <t>Đèn led tuýp phòng ngủ 1</t>
  </si>
  <si>
    <r>
      <rPr>
        <sz val="18"/>
        <color theme="1"/>
        <rFont val="Times New Roman"/>
        <family val="1"/>
      </rPr>
      <t xml:space="preserve">Thương hiệu </t>
    </r>
    <r>
      <rPr>
        <b/>
        <sz val="18"/>
        <color theme="1"/>
        <rFont val="Times New Roman"/>
        <family val="1"/>
      </rPr>
      <t xml:space="preserve">MPE. </t>
    </r>
    <r>
      <rPr>
        <sz val="18"/>
        <color theme="1"/>
        <rFont val="Times New Roman"/>
        <family val="1"/>
      </rPr>
      <t xml:space="preserve">
1 ánh sáng đèn.</t>
    </r>
  </si>
  <si>
    <t>Đi đường ống hút mùi WC</t>
  </si>
  <si>
    <t xml:space="preserve">Quạt hút mùi WC </t>
  </si>
  <si>
    <t xml:space="preserve">Phểu thu sàn </t>
  </si>
  <si>
    <t>IX</t>
  </si>
  <si>
    <t>Địa chỉ VP: Tầng M - Tòa nhà Thanh Đa View, Phường Bình Quới, TP. Hồ Chí Minh.</t>
  </si>
  <si>
    <t xml:space="preserve">Khách hàng: </t>
  </si>
  <si>
    <t>Xe 3 gác (Tính theo thực tế).</t>
  </si>
  <si>
    <t>PHẦN KẾT CẤU</t>
  </si>
  <si>
    <t>C</t>
  </si>
  <si>
    <t>- Bao gồm vật tư, nhân công thi công ống hút mùi.
- Ống UPVC D90/D114 nối vào hộp gen hoặc đi ra sau nhà, không đi lên mái.</t>
  </si>
  <si>
    <t>Bao gồm nhân công đấu nối, lắp đặt và vật tư phụ.</t>
  </si>
  <si>
    <t>Kiểm tra bể phốt, đường cấp thoát đô thị</t>
  </si>
  <si>
    <t>Báo giá sau khi tháo dỡ</t>
  </si>
  <si>
    <r>
      <t xml:space="preserve">Thương hiệu </t>
    </r>
    <r>
      <rPr>
        <b/>
        <sz val="18"/>
        <color theme="1"/>
        <rFont val="Times New Roman"/>
        <family val="1"/>
      </rPr>
      <t>Nanoco</t>
    </r>
    <r>
      <rPr>
        <sz val="18"/>
        <color theme="1"/>
        <rFont val="Times New Roman"/>
        <family val="1"/>
      </rPr>
      <t>.</t>
    </r>
  </si>
  <si>
    <t xml:space="preserve">Led hắt trần </t>
  </si>
  <si>
    <r>
      <t xml:space="preserve">Bao gồm nhân công + vật tư.
Led dây, nguồn chuyển 12 vol, công tắc cơ.
</t>
    </r>
    <r>
      <rPr>
        <b/>
        <sz val="18"/>
        <color rgb="FF000000"/>
        <rFont val="Times New Roman"/>
        <family val="1"/>
      </rPr>
      <t>Khối lượng nghiệm thu theo thực tế.</t>
    </r>
  </si>
  <si>
    <t xml:space="preserve">- Bao gồm vật tư, nhân công thi công phần thô hệ thống điện + lắp thiết bị điện.
- Bao gồm cấp nguồn cho thang máy 1 pha nếu có.
- Ống điện Sino, cáp mạng Cat6, cáp điện Cadivi.
- Đi ống cứng trong tường, dưới nền và trên trần.
- Đi ống mềm từ box xuống thiết bị.
- Mỗi tầng bao gồm 1 wifi, 1 node mạng, 1 node camera. Phát sinh thêm thì tính phí.   
Dây điện Cadivi:
- Nguồn cấp đồng hồ vào dây 10mm
- Nguồn cho khu bếp dây 4-6mm
- Nguồn ổ cắm, máy lạnh, máy nước  nóng 2.5mm
- Hệ thống chiếu sáng 1.5mm
Ống điện:
- Sử dụng ống cứng nhựa PVC/ ống ruột gà </t>
  </si>
  <si>
    <t>Chi phí giàn giáo thi công mặt tiền</t>
  </si>
  <si>
    <t>Kiểm tra, xử lý tường và trần bị thấm, xuống cấp</t>
  </si>
  <si>
    <t>Khảo sát chi tiết báo giá sau</t>
  </si>
  <si>
    <r>
      <t xml:space="preserve">Đi mới hệ thống cấp thoát nước mới cho </t>
    </r>
    <r>
      <rPr>
        <b/>
        <sz val="18"/>
        <color rgb="FF0058B0"/>
        <rFont val="Times New Roman"/>
        <family val="1"/>
      </rPr>
      <t xml:space="preserve">BẾP </t>
    </r>
    <r>
      <rPr>
        <b/>
        <sz val="18"/>
        <rFont val="Times New Roman"/>
        <family val="1"/>
      </rPr>
      <t xml:space="preserve">
</t>
    </r>
  </si>
  <si>
    <r>
      <t xml:space="preserve">Đi mới hệ thống cấp thoát nước mới cho </t>
    </r>
    <r>
      <rPr>
        <b/>
        <sz val="18"/>
        <color rgb="FF0058B0"/>
        <rFont val="Times New Roman"/>
        <family val="1"/>
      </rPr>
      <t xml:space="preserve">WC </t>
    </r>
  </si>
  <si>
    <r>
      <t xml:space="preserve">Đi mới hệ thống cấp thoát nước mới cho </t>
    </r>
    <r>
      <rPr>
        <b/>
        <sz val="18"/>
        <color rgb="FF0058B0"/>
        <rFont val="Times New Roman"/>
        <family val="1"/>
      </rPr>
      <t xml:space="preserve">MÁY GIẶT </t>
    </r>
  </si>
  <si>
    <r>
      <t xml:space="preserve">Đi mới hệ thống cấp thoát nước mới </t>
    </r>
    <r>
      <rPr>
        <b/>
        <sz val="18"/>
        <color rgb="FF0058B0"/>
        <rFont val="Times New Roman"/>
        <family val="1"/>
      </rPr>
      <t>VÒI NƯỚC</t>
    </r>
  </si>
  <si>
    <t>Gạch ốp tường mặt tiền</t>
  </si>
  <si>
    <t>Trừ cửa</t>
  </si>
  <si>
    <t>Tháo dỡ gạch nền WC và ban công</t>
  </si>
  <si>
    <t xml:space="preserve">Sơn tường ngoại thất </t>
  </si>
  <si>
    <t>Tô trám tường sau khi tháo dỡ tường và gạch ốp tường</t>
  </si>
  <si>
    <r>
      <t xml:space="preserve">Xi măng Hà Tiên/ Insee.
</t>
    </r>
    <r>
      <rPr>
        <b/>
        <sz val="18"/>
        <color rgb="FF000000"/>
        <rFont val="Times New Roman"/>
        <family val="1"/>
      </rPr>
      <t>Khối lượng nghiệm thu theo thực tế.</t>
    </r>
  </si>
  <si>
    <r>
      <t xml:space="preserve">Xây tường 100 theo bố trí mới 
</t>
    </r>
    <r>
      <rPr>
        <b/>
        <sz val="18"/>
        <color rgb="FF0070C0"/>
        <rFont val="Times New Roman"/>
        <family val="1"/>
      </rPr>
      <t>- TƯỜNG</t>
    </r>
  </si>
  <si>
    <r>
      <t xml:space="preserve">Xây tường 200 theo bố trí mới 
</t>
    </r>
    <r>
      <rPr>
        <b/>
        <sz val="18"/>
        <color rgb="FF0070C0"/>
        <rFont val="Times New Roman"/>
        <family val="1"/>
      </rPr>
      <t>- TƯỜNG</t>
    </r>
  </si>
  <si>
    <t>Lấy cotg cán nền tầng 2</t>
  </si>
  <si>
    <t>Lấy cotg cán nền tầng 1</t>
  </si>
  <si>
    <t>Sơn tường ngoại thất</t>
  </si>
  <si>
    <t>Lấy cotg cán nền tầng 3</t>
  </si>
  <si>
    <t>Vệ sinh đường ron - đi keo đường ron gạch tầng 3</t>
  </si>
  <si>
    <r>
      <t xml:space="preserve">Nhân công và vật tư lát </t>
    </r>
    <r>
      <rPr>
        <b/>
        <sz val="18"/>
        <color rgb="FF0070C0"/>
        <rFont val="Times New Roman"/>
        <family val="1"/>
      </rPr>
      <t>SÀN GẠCH 400X400</t>
    </r>
  </si>
  <si>
    <t>Gạch nền seno mái</t>
  </si>
  <si>
    <t>Vệ sinh đường ron - đi keo đường ron gạch seno mái</t>
  </si>
  <si>
    <r>
      <t xml:space="preserve">Sơn tường ngoại thất
</t>
    </r>
    <r>
      <rPr>
        <b/>
        <sz val="18"/>
        <color rgb="FF0070C0"/>
        <rFont val="Times New Roman"/>
        <family val="1"/>
      </rPr>
      <t>- TƯỜNG SENO MÁI</t>
    </r>
  </si>
  <si>
    <t xml:space="preserve">Sơn chống thấm </t>
  </si>
  <si>
    <t>Khung sắt kính cường lực trên mái</t>
  </si>
  <si>
    <t xml:space="preserve">Xây tô bậc tam cấp </t>
  </si>
  <si>
    <t>Xây tô ram dốc</t>
  </si>
  <si>
    <t>Thi công tạo hình bo cong mặt tiền theo thiết kế mới</t>
  </si>
  <si>
    <r>
      <t xml:space="preserve">Chỉ nước 5cm 
</t>
    </r>
    <r>
      <rPr>
        <b/>
        <sz val="18"/>
        <color rgb="FF0070C0"/>
        <rFont val="Times New Roman"/>
        <family val="1"/>
      </rPr>
      <t>MẶT TIỀN</t>
    </r>
  </si>
  <si>
    <t xml:space="preserve">Đá ốp bậc tam cấp </t>
  </si>
  <si>
    <t xml:space="preserve">Gạch nền </t>
  </si>
  <si>
    <t>Khung sắt mái che</t>
  </si>
  <si>
    <t xml:space="preserve">Lam nhựa giả gỗ ốp trần </t>
  </si>
  <si>
    <t>Sủi tường mặt tiền hiện trạng</t>
  </si>
  <si>
    <t>Sơn chống thấm vách song</t>
  </si>
  <si>
    <t>Cầu thang sắt</t>
  </si>
  <si>
    <r>
      <t xml:space="preserve">Đóng thạch cao cầu thang
</t>
    </r>
    <r>
      <rPr>
        <b/>
        <sz val="18"/>
        <color rgb="FF0070C0"/>
        <rFont val="Times New Roman"/>
        <family val="1"/>
      </rPr>
      <t>MẶT ĐÁY VÀ HÔNG</t>
    </r>
  </si>
  <si>
    <r>
      <t xml:space="preserve">Xương nhôm, tấm Yoshino (hoặc tương đương) 9mm, đóng hệ 400x800mm.
</t>
    </r>
    <r>
      <rPr>
        <b/>
        <sz val="18"/>
        <rFont val="Times New Roman"/>
        <family val="1"/>
      </rPr>
      <t>Khối lượng nghiệm thu theo thực tế.</t>
    </r>
  </si>
  <si>
    <r>
      <t xml:space="preserve">Nẹp U 
</t>
    </r>
    <r>
      <rPr>
        <i/>
        <sz val="18"/>
        <rFont val="Times New Roman"/>
        <family val="1"/>
      </rPr>
      <t>(liên kết giữa thạch cao mặt đáy và mặt hông cầu thang)</t>
    </r>
  </si>
  <si>
    <r>
      <t xml:space="preserve">Nhựa Upvc.
</t>
    </r>
    <r>
      <rPr>
        <b/>
        <sz val="18"/>
        <rFont val="Times New Roman"/>
        <family val="1"/>
      </rPr>
      <t>Khối lượng nghiệm thu theo thực tế.</t>
    </r>
  </si>
  <si>
    <t>Len đá cầu thang</t>
  </si>
  <si>
    <t>Chỉ đá cầu thang</t>
  </si>
  <si>
    <t>Gỗ ốp mặt nằm bậc cầu thang</t>
  </si>
  <si>
    <t>Gỗ ốp mặt đứng bậc cầu thang</t>
  </si>
  <si>
    <t>Đá mặt nằm bậc cầu thang</t>
  </si>
  <si>
    <t>Đá mặt đứng bậc cầu thang</t>
  </si>
  <si>
    <t>Tháo - lắp cổng sắt</t>
  </si>
  <si>
    <t>Sơn lại cổng sắt</t>
  </si>
  <si>
    <t>Sơn dầu màu theo thiết kế.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</si>
</sst>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0_);_(* \(#,##0.0\);_(* &quot;-&quot;??_);_(@_)"/>
  </numFmts>
  <fonts count="53">
    <font>
      <sz val="11"/>
      <color theme="1"/>
      <name val="Calibri"/>
      <charset val="134"/>
      <scheme val="minor"/>
    </font>
    <font>
      <sz val="11"/>
      <color theme="1"/>
      <name val="Calibri"/>
      <family val="2"/>
      <scheme val="minor"/>
    </font>
    <font>
      <sz val="11"/>
      <color theme="1"/>
      <name val="Times New Roman"/>
      <family val="1"/>
    </font>
    <font>
      <b/>
      <sz val="20"/>
      <color rgb="FFFF0000"/>
      <name val="Times New Roman"/>
      <family val="1"/>
    </font>
    <font>
      <b/>
      <sz val="18"/>
      <color theme="1"/>
      <name val="Times New Roman"/>
      <family val="1"/>
    </font>
    <font>
      <b/>
      <sz val="18"/>
      <name val="Times New Roman"/>
      <family val="1"/>
    </font>
    <font>
      <b/>
      <i/>
      <sz val="14"/>
      <name val="Times New Roman"/>
      <family val="1"/>
    </font>
    <font>
      <sz val="14"/>
      <color theme="1"/>
      <name val="Times New Roman"/>
      <family val="1"/>
    </font>
    <font>
      <b/>
      <sz val="20"/>
      <color theme="1"/>
      <name val="Times New Roman"/>
      <family val="1"/>
    </font>
    <font>
      <b/>
      <sz val="30"/>
      <color theme="1"/>
      <name val="Times New Roman"/>
      <family val="1"/>
    </font>
    <font>
      <sz val="18"/>
      <name val="Times New Roman"/>
      <family val="1"/>
    </font>
    <font>
      <b/>
      <sz val="18"/>
      <color rgb="FFFF0000"/>
      <name val="Times New Roman"/>
      <family val="1"/>
    </font>
    <font>
      <sz val="18"/>
      <color theme="1"/>
      <name val="Times New Roman"/>
      <family val="1"/>
    </font>
    <font>
      <sz val="18"/>
      <color rgb="FF000000"/>
      <name val="Times New Roman"/>
      <family val="1"/>
    </font>
    <font>
      <sz val="20"/>
      <color rgb="FFFF0000"/>
      <name val="Times New Roman"/>
      <family val="1"/>
    </font>
    <font>
      <b/>
      <i/>
      <sz val="18"/>
      <color rgb="FFC00000"/>
      <name val="Times New Roman"/>
      <family val="1"/>
    </font>
    <font>
      <i/>
      <sz val="18"/>
      <color rgb="FFC00000"/>
      <name val="Times New Roman"/>
      <family val="1"/>
    </font>
    <font>
      <i/>
      <sz val="18"/>
      <color rgb="FF00B0F0"/>
      <name val="Times New Roman"/>
      <family val="1"/>
    </font>
    <font>
      <b/>
      <sz val="20"/>
      <color rgb="FF000000"/>
      <name val="Times New Roman"/>
      <family val="1"/>
    </font>
    <font>
      <b/>
      <i/>
      <sz val="18"/>
      <color rgb="FFFF0000"/>
      <name val="Times New Roman"/>
      <family val="1"/>
    </font>
    <font>
      <i/>
      <sz val="18"/>
      <color rgb="FFFF0000"/>
      <name val="Times New Roman"/>
      <family val="1"/>
    </font>
    <font>
      <i/>
      <sz val="18"/>
      <color theme="1"/>
      <name val="Times New Roman"/>
      <family val="1"/>
    </font>
    <font>
      <b/>
      <sz val="24"/>
      <color theme="1"/>
      <name val="Times New Roman"/>
      <family val="1"/>
    </font>
    <font>
      <i/>
      <sz val="18"/>
      <name val="Times New Roman"/>
      <family val="1"/>
    </font>
    <font>
      <sz val="20"/>
      <color rgb="FF000000"/>
      <name val="Times New Roman"/>
      <family val="1"/>
    </font>
    <font>
      <i/>
      <sz val="18"/>
      <color rgb="FF009EDE"/>
      <name val="Times New Roman"/>
      <family val="1"/>
    </font>
    <font>
      <b/>
      <sz val="18"/>
      <color rgb="FF000000"/>
      <name val="Times New Roman"/>
      <family val="1"/>
    </font>
    <font>
      <sz val="18"/>
      <color rgb="FFFF0000"/>
      <name val="Times New Roman"/>
      <family val="1"/>
    </font>
    <font>
      <b/>
      <sz val="18"/>
      <color rgb="FF0070C0"/>
      <name val="Times New Roman"/>
      <family val="1"/>
    </font>
    <font>
      <sz val="11"/>
      <color theme="1"/>
      <name val="Calibri"/>
      <family val="2"/>
      <scheme val="minor"/>
    </font>
    <font>
      <sz val="10"/>
      <name val="VNI-Times"/>
    </font>
    <font>
      <b/>
      <i/>
      <sz val="18"/>
      <color theme="1"/>
      <name val="Times New Roman"/>
      <family val="1"/>
    </font>
    <font>
      <b/>
      <sz val="22"/>
      <color rgb="FFFF0000"/>
      <name val="Times New Roman"/>
      <family val="1"/>
    </font>
    <font>
      <b/>
      <sz val="26"/>
      <color theme="1"/>
      <name val="Times New Roman"/>
      <family val="1"/>
    </font>
    <font>
      <b/>
      <sz val="24"/>
      <color rgb="FFFF0000"/>
      <name val="Times New Roman"/>
      <family val="1"/>
    </font>
    <font>
      <sz val="24"/>
      <color rgb="FFFF0000"/>
      <name val="Times New Roman"/>
      <family val="1"/>
    </font>
    <font>
      <i/>
      <sz val="24"/>
      <color rgb="FFFF0000"/>
      <name val="Times New Roman"/>
      <family val="1"/>
    </font>
    <font>
      <b/>
      <i/>
      <sz val="24"/>
      <color rgb="FFFF0000"/>
      <name val="Times New Roman"/>
      <family val="1"/>
    </font>
    <font>
      <b/>
      <sz val="18"/>
      <color theme="0"/>
      <name val="Times New Roman"/>
      <family val="1"/>
    </font>
    <font>
      <b/>
      <i/>
      <sz val="18"/>
      <color rgb="FF00B0F0"/>
      <name val="Times New Roman"/>
      <family val="1"/>
    </font>
    <font>
      <b/>
      <i/>
      <sz val="24"/>
      <color rgb="FF00B0F0"/>
      <name val="Times New Roman"/>
      <family val="1"/>
    </font>
    <font>
      <sz val="14"/>
      <color rgb="FFFF0000"/>
      <name val="Times New Roman"/>
      <family val="1"/>
    </font>
    <font>
      <b/>
      <i/>
      <sz val="18"/>
      <name val="Times New Roman"/>
      <family val="1"/>
    </font>
    <font>
      <sz val="11"/>
      <color theme="1"/>
      <name val="Calibri"/>
      <family val="2"/>
      <scheme val="minor"/>
    </font>
    <font>
      <i/>
      <sz val="24"/>
      <color rgb="FFC00000"/>
      <name val="Times New Roman"/>
      <family val="1"/>
    </font>
    <font>
      <i/>
      <sz val="20"/>
      <color rgb="FFC00000"/>
      <name val="Times New Roman"/>
      <family val="1"/>
    </font>
    <font>
      <b/>
      <sz val="24"/>
      <name val="Times New Roman"/>
      <family val="1"/>
    </font>
    <font>
      <sz val="18"/>
      <color rgb="FF212121"/>
      <name val="Times New Roman"/>
      <family val="1"/>
    </font>
    <font>
      <i/>
      <sz val="16"/>
      <name val="Times New Roman"/>
      <family val="1"/>
    </font>
    <font>
      <i/>
      <sz val="16"/>
      <color rgb="FF000000"/>
      <name val="Times New Roman"/>
      <family val="1"/>
    </font>
    <font>
      <sz val="18"/>
      <color rgb="FF009EDE"/>
      <name val="Times New Roman"/>
      <family val="1"/>
    </font>
    <font>
      <i/>
      <sz val="24"/>
      <color rgb="FF009EDE"/>
      <name val="Times New Roman"/>
      <family val="1"/>
    </font>
    <font>
      <b/>
      <sz val="18"/>
      <color rgb="FF0058B0"/>
      <name val="Times New Roman"/>
      <family val="1"/>
    </font>
  </fonts>
  <fills count="11">
    <fill>
      <patternFill patternType="none"/>
    </fill>
    <fill>
      <patternFill patternType="gray125"/>
    </fill>
    <fill>
      <patternFill patternType="solid">
        <fgColor theme="0"/>
        <bgColor indexed="64"/>
      </patternFill>
    </fill>
    <fill>
      <patternFill patternType="solid">
        <fgColor theme="5"/>
        <bgColor rgb="FF244061"/>
      </patternFill>
    </fill>
    <fill>
      <patternFill patternType="solid">
        <fgColor theme="5"/>
        <bgColor indexed="64"/>
      </patternFill>
    </fill>
    <fill>
      <patternFill patternType="solid">
        <fgColor rgb="FFFFFF00"/>
        <bgColor indexed="64"/>
      </patternFill>
    </fill>
    <fill>
      <patternFill patternType="solid">
        <fgColor theme="9" tint="0.39988402966399123"/>
        <bgColor indexed="64"/>
      </patternFill>
    </fill>
    <fill>
      <patternFill patternType="solid">
        <fgColor theme="9" tint="0.79995117038483843"/>
        <bgColor indexed="64"/>
      </patternFill>
    </fill>
    <fill>
      <patternFill patternType="solid">
        <fgColor theme="0"/>
        <bgColor rgb="FFFFFFFF"/>
      </patternFill>
    </fill>
    <fill>
      <patternFill patternType="solid">
        <fgColor theme="0"/>
        <bgColor theme="0"/>
      </patternFill>
    </fill>
    <fill>
      <patternFill patternType="solid">
        <fgColor theme="6" tint="0.79998168889431442"/>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2">
    <xf numFmtId="0" fontId="0" fillId="0" borderId="0"/>
    <xf numFmtId="164" fontId="29" fillId="0" borderId="0" applyFont="0" applyFill="0" applyBorder="0" applyAlignment="0" applyProtection="0"/>
    <xf numFmtId="0" fontId="30" fillId="0" borderId="0"/>
    <xf numFmtId="0" fontId="29" fillId="0" borderId="0"/>
    <xf numFmtId="0" fontId="29" fillId="0" borderId="0"/>
    <xf numFmtId="164" fontId="29"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9" fontId="43" fillId="0" borderId="0" applyFont="0" applyFill="0" applyBorder="0" applyAlignment="0" applyProtection="0"/>
    <xf numFmtId="0" fontId="1" fillId="0" borderId="0"/>
    <xf numFmtId="164" fontId="1" fillId="0" borderId="0" applyFont="0" applyFill="0" applyBorder="0" applyAlignment="0" applyProtection="0"/>
  </cellStyleXfs>
  <cellXfs count="313">
    <xf numFmtId="0" fontId="0" fillId="0" borderId="0" xfId="0"/>
    <xf numFmtId="0" fontId="2" fillId="0" borderId="0" xfId="3" applyFont="1" applyAlignment="1">
      <alignment wrapText="1"/>
    </xf>
    <xf numFmtId="0" fontId="3" fillId="0" borderId="0" xfId="3" applyFont="1"/>
    <xf numFmtId="0" fontId="4" fillId="2" borderId="0" xfId="0" applyFont="1" applyFill="1"/>
    <xf numFmtId="0" fontId="6" fillId="2" borderId="0" xfId="3" applyFont="1" applyFill="1" applyAlignment="1">
      <alignment horizontal="left"/>
    </xf>
    <xf numFmtId="0" fontId="2" fillId="0" borderId="0" xfId="3" applyFont="1" applyAlignment="1">
      <alignment horizontal="center"/>
    </xf>
    <xf numFmtId="0" fontId="2" fillId="0" borderId="0" xfId="3" applyFont="1"/>
    <xf numFmtId="165" fontId="2" fillId="0" borderId="0" xfId="1" applyNumberFormat="1" applyFont="1"/>
    <xf numFmtId="0" fontId="7" fillId="0" borderId="0" xfId="3" applyFont="1"/>
    <xf numFmtId="3" fontId="2" fillId="0" borderId="0" xfId="3" applyNumberFormat="1" applyFont="1" applyAlignment="1">
      <alignment horizontal="right"/>
    </xf>
    <xf numFmtId="3" fontId="2" fillId="0" borderId="0" xfId="3" applyNumberFormat="1" applyFont="1" applyAlignment="1">
      <alignment vertical="center"/>
    </xf>
    <xf numFmtId="0" fontId="10" fillId="2" borderId="2" xfId="0" applyFont="1" applyFill="1" applyBorder="1" applyAlignment="1">
      <alignment horizontal="center" vertical="center"/>
    </xf>
    <xf numFmtId="0" fontId="4" fillId="2" borderId="2" xfId="0" applyFont="1" applyFill="1" applyBorder="1" applyAlignment="1">
      <alignment horizontal="left" vertical="center" wrapText="1"/>
    </xf>
    <xf numFmtId="3" fontId="11" fillId="2" borderId="2" xfId="0" applyNumberFormat="1" applyFont="1" applyFill="1" applyBorder="1" applyAlignment="1">
      <alignment horizontal="center" wrapText="1"/>
    </xf>
    <xf numFmtId="0" fontId="12" fillId="2" borderId="2" xfId="0" applyFont="1" applyFill="1" applyBorder="1" applyAlignment="1">
      <alignment horizontal="center" vertical="center" wrapText="1"/>
    </xf>
    <xf numFmtId="0" fontId="12" fillId="2" borderId="2" xfId="0" applyFont="1" applyFill="1" applyBorder="1" applyAlignment="1">
      <alignment horizontal="center" vertical="center"/>
    </xf>
    <xf numFmtId="2" fontId="13" fillId="2" borderId="2" xfId="1" applyNumberFormat="1" applyFont="1" applyFill="1" applyBorder="1" applyAlignment="1">
      <alignment horizontal="center" vertical="center"/>
    </xf>
    <xf numFmtId="3" fontId="12" fillId="2" borderId="2" xfId="0" applyNumberFormat="1" applyFont="1" applyFill="1" applyBorder="1" applyAlignment="1">
      <alignment horizontal="center" vertical="center" wrapText="1"/>
    </xf>
    <xf numFmtId="3" fontId="14" fillId="5" borderId="2" xfId="3" applyNumberFormat="1" applyFont="1" applyFill="1" applyBorder="1" applyAlignment="1">
      <alignment horizontal="left" vertical="center" wrapText="1"/>
    </xf>
    <xf numFmtId="3" fontId="10" fillId="2" borderId="2" xfId="0" applyNumberFormat="1" applyFont="1" applyFill="1" applyBorder="1" applyAlignment="1">
      <alignment horizontal="center" vertical="center"/>
    </xf>
    <xf numFmtId="0" fontId="8" fillId="0" borderId="0" xfId="0" applyFont="1"/>
    <xf numFmtId="0" fontId="15" fillId="2" borderId="0" xfId="0" applyFont="1" applyFill="1"/>
    <xf numFmtId="0" fontId="16" fillId="2" borderId="0" xfId="0" applyFont="1" applyFill="1"/>
    <xf numFmtId="0" fontId="4" fillId="0" borderId="0" xfId="0" applyFont="1"/>
    <xf numFmtId="0" fontId="17" fillId="2" borderId="0" xfId="0" applyFont="1" applyFill="1"/>
    <xf numFmtId="0" fontId="16" fillId="0" borderId="0" xfId="0" applyFont="1"/>
    <xf numFmtId="0" fontId="15" fillId="0" borderId="0" xfId="0" applyFont="1"/>
    <xf numFmtId="0" fontId="18" fillId="6" borderId="2" xfId="0" applyFont="1" applyFill="1" applyBorder="1" applyAlignment="1">
      <alignment horizontal="center" vertical="center"/>
    </xf>
    <xf numFmtId="0" fontId="5" fillId="2" borderId="2" xfId="0" applyFont="1" applyFill="1" applyBorder="1" applyAlignment="1">
      <alignment horizontal="left" vertical="center" wrapText="1"/>
    </xf>
    <xf numFmtId="0" fontId="16" fillId="2" borderId="2" xfId="0" applyFont="1" applyFill="1" applyBorder="1" applyAlignment="1">
      <alignment horizontal="left" vertical="center" wrapText="1"/>
    </xf>
    <xf numFmtId="3" fontId="16" fillId="2" borderId="2" xfId="0" applyNumberFormat="1" applyFont="1" applyFill="1" applyBorder="1" applyAlignment="1">
      <alignment horizontal="center" vertical="center" wrapText="1"/>
    </xf>
    <xf numFmtId="2" fontId="10" fillId="2" borderId="2" xfId="1" applyNumberFormat="1" applyFont="1" applyFill="1" applyBorder="1" applyAlignment="1">
      <alignment horizontal="center" vertical="center"/>
    </xf>
    <xf numFmtId="0" fontId="15" fillId="2" borderId="2" xfId="0" applyFont="1" applyFill="1" applyBorder="1" applyAlignment="1">
      <alignment horizontal="left" vertical="center" wrapText="1"/>
    </xf>
    <xf numFmtId="0" fontId="16" fillId="2" borderId="2" xfId="0" applyFont="1" applyFill="1" applyBorder="1" applyAlignment="1">
      <alignment horizontal="center" vertical="center"/>
    </xf>
    <xf numFmtId="2" fontId="16" fillId="2" borderId="2" xfId="1" applyNumberFormat="1" applyFont="1" applyFill="1" applyBorder="1" applyAlignment="1">
      <alignment horizontal="center" vertical="center"/>
    </xf>
    <xf numFmtId="0" fontId="10" fillId="2" borderId="3" xfId="0" applyFont="1" applyFill="1" applyBorder="1" applyAlignment="1">
      <alignment horizontal="center" vertical="center"/>
    </xf>
    <xf numFmtId="3" fontId="10" fillId="2" borderId="2" xfId="0" applyNumberFormat="1" applyFont="1" applyFill="1" applyBorder="1" applyAlignment="1">
      <alignment horizontal="center" vertical="center" wrapText="1"/>
    </xf>
    <xf numFmtId="0" fontId="16" fillId="2" borderId="3" xfId="0" applyFont="1" applyFill="1" applyBorder="1" applyAlignment="1">
      <alignment horizontal="left" vertical="center" wrapText="1"/>
    </xf>
    <xf numFmtId="2" fontId="12" fillId="2" borderId="2" xfId="1" applyNumberFormat="1" applyFont="1" applyFill="1" applyBorder="1" applyAlignment="1">
      <alignment horizontal="center" vertical="center"/>
    </xf>
    <xf numFmtId="0" fontId="19"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8" fillId="7" borderId="2" xfId="0" applyFont="1" applyFill="1" applyBorder="1" applyAlignment="1">
      <alignment horizontal="center" vertical="center"/>
    </xf>
    <xf numFmtId="0" fontId="20" fillId="2" borderId="2" xfId="0" applyFont="1" applyFill="1" applyBorder="1" applyAlignment="1">
      <alignment horizontal="center" vertical="center" wrapText="1"/>
    </xf>
    <xf numFmtId="2" fontId="10" fillId="2" borderId="2" xfId="0" applyNumberFormat="1" applyFont="1" applyFill="1" applyBorder="1" applyAlignment="1">
      <alignment horizontal="center" vertical="center"/>
    </xf>
    <xf numFmtId="3" fontId="10" fillId="0" borderId="2" xfId="0" applyNumberFormat="1" applyFont="1" applyBorder="1" applyAlignment="1">
      <alignment horizontal="center" vertical="center" wrapText="1"/>
    </xf>
    <xf numFmtId="0" fontId="11" fillId="2" borderId="2" xfId="0" applyFont="1" applyFill="1" applyBorder="1" applyAlignment="1">
      <alignment horizontal="center" wrapText="1"/>
    </xf>
    <xf numFmtId="3" fontId="8" fillId="6" borderId="2" xfId="0" applyNumberFormat="1" applyFont="1" applyFill="1" applyBorder="1" applyAlignment="1">
      <alignment horizontal="center" vertical="center"/>
    </xf>
    <xf numFmtId="0" fontId="22" fillId="0" borderId="0" xfId="0" applyFont="1"/>
    <xf numFmtId="0" fontId="23" fillId="2" borderId="2" xfId="0" applyFont="1" applyFill="1" applyBorder="1" applyAlignment="1">
      <alignment horizontal="left" vertical="center" wrapText="1"/>
    </xf>
    <xf numFmtId="0" fontId="22" fillId="2" borderId="0" xfId="0" applyFont="1" applyFill="1"/>
    <xf numFmtId="3" fontId="16" fillId="2" borderId="2" xfId="0" applyNumberFormat="1" applyFont="1" applyFill="1" applyBorder="1" applyAlignment="1">
      <alignment horizontal="center" vertical="center"/>
    </xf>
    <xf numFmtId="0" fontId="10" fillId="2" borderId="2" xfId="0" applyFont="1" applyFill="1" applyBorder="1" applyAlignment="1">
      <alignment horizontal="left" vertical="center" wrapText="1"/>
    </xf>
    <xf numFmtId="0" fontId="16" fillId="2" borderId="2" xfId="0" applyFont="1" applyFill="1" applyBorder="1" applyAlignment="1">
      <alignment vertical="center" wrapText="1"/>
    </xf>
    <xf numFmtId="3" fontId="10" fillId="0" borderId="2" xfId="0" applyNumberFormat="1" applyFont="1" applyBorder="1" applyAlignment="1">
      <alignment horizontal="center" vertical="center"/>
    </xf>
    <xf numFmtId="0" fontId="12" fillId="8" borderId="2" xfId="0" applyFont="1" applyFill="1" applyBorder="1" applyAlignment="1">
      <alignment horizontal="left" vertical="center" wrapText="1"/>
    </xf>
    <xf numFmtId="0" fontId="10" fillId="0" borderId="2" xfId="0" applyFont="1" applyBorder="1" applyAlignment="1">
      <alignment horizontal="center" vertical="center"/>
    </xf>
    <xf numFmtId="0" fontId="10" fillId="8" borderId="2" xfId="0" applyFont="1" applyFill="1" applyBorder="1" applyAlignment="1">
      <alignment horizontal="left" vertical="center" wrapText="1"/>
    </xf>
    <xf numFmtId="0" fontId="24" fillId="6" borderId="2" xfId="0" applyFont="1" applyFill="1" applyBorder="1" applyAlignment="1">
      <alignment horizontal="left" vertical="center" wrapText="1"/>
    </xf>
    <xf numFmtId="3" fontId="8" fillId="7" borderId="2" xfId="0" applyNumberFormat="1" applyFont="1" applyFill="1" applyBorder="1" applyAlignment="1">
      <alignment horizontal="center" vertical="center"/>
    </xf>
    <xf numFmtId="0" fontId="24" fillId="7" borderId="2" xfId="0" applyFont="1" applyFill="1" applyBorder="1" applyAlignment="1">
      <alignment horizontal="left" vertical="center" wrapText="1"/>
    </xf>
    <xf numFmtId="0" fontId="13" fillId="8" borderId="2"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5" fillId="0" borderId="2" xfId="0" applyFont="1" applyBorder="1" applyAlignment="1">
      <alignment horizontal="left" vertical="center" wrapText="1"/>
    </xf>
    <xf numFmtId="2" fontId="10" fillId="0" borderId="2" xfId="1" applyNumberFormat="1" applyFont="1" applyFill="1" applyBorder="1" applyAlignment="1">
      <alignment horizontal="center" vertical="center"/>
    </xf>
    <xf numFmtId="0" fontId="12" fillId="0" borderId="2" xfId="0" applyFont="1" applyBorder="1" applyAlignment="1">
      <alignment horizontal="center" vertical="center"/>
    </xf>
    <xf numFmtId="0" fontId="16"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5" fillId="2" borderId="2" xfId="0" applyFont="1" applyFill="1" applyBorder="1" applyAlignment="1">
      <alignment vertical="center" wrapText="1"/>
    </xf>
    <xf numFmtId="3" fontId="25" fillId="2" borderId="2" xfId="0" applyNumberFormat="1" applyFont="1" applyFill="1" applyBorder="1" applyAlignment="1">
      <alignment horizontal="center" vertical="center" wrapText="1"/>
    </xf>
    <xf numFmtId="0" fontId="25" fillId="2" borderId="2" xfId="0" applyFont="1" applyFill="1" applyBorder="1" applyAlignment="1">
      <alignment horizontal="center" vertical="center"/>
    </xf>
    <xf numFmtId="0" fontId="25" fillId="2" borderId="2" xfId="0" applyFont="1" applyFill="1" applyBorder="1" applyAlignment="1">
      <alignment horizontal="left" vertical="center" wrapText="1"/>
    </xf>
    <xf numFmtId="0" fontId="10" fillId="0" borderId="2" xfId="0" applyFont="1" applyBorder="1" applyAlignment="1">
      <alignment horizontal="left" vertical="center" wrapText="1"/>
    </xf>
    <xf numFmtId="0" fontId="13" fillId="2" borderId="2" xfId="0" applyFont="1" applyFill="1" applyBorder="1" applyAlignment="1">
      <alignment horizontal="left" vertical="center" wrapText="1"/>
    </xf>
    <xf numFmtId="3" fontId="27" fillId="2" borderId="2" xfId="0" applyNumberFormat="1" applyFont="1" applyFill="1" applyBorder="1" applyAlignment="1">
      <alignment vertical="center" wrapText="1"/>
    </xf>
    <xf numFmtId="3" fontId="12" fillId="9" borderId="2"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3" fontId="27" fillId="0" borderId="2" xfId="0" applyNumberFormat="1" applyFont="1" applyBorder="1" applyAlignment="1">
      <alignment horizontal="center" vertical="center" wrapText="1"/>
    </xf>
    <xf numFmtId="3" fontId="12" fillId="0" borderId="2" xfId="0" applyNumberFormat="1" applyFont="1" applyBorder="1" applyAlignment="1">
      <alignment horizontal="center" vertical="center" wrapText="1"/>
    </xf>
    <xf numFmtId="2" fontId="12" fillId="0" borderId="2" xfId="1" applyNumberFormat="1" applyFont="1" applyFill="1" applyBorder="1" applyAlignment="1">
      <alignment horizontal="center" vertical="center"/>
    </xf>
    <xf numFmtId="0" fontId="26" fillId="2" borderId="2" xfId="0" applyFont="1" applyFill="1" applyBorder="1" applyAlignment="1">
      <alignment horizontal="left" vertical="center" wrapText="1"/>
    </xf>
    <xf numFmtId="3" fontId="13" fillId="2" borderId="2" xfId="0" applyNumberFormat="1" applyFont="1" applyFill="1" applyBorder="1" applyAlignment="1">
      <alignment horizontal="center" vertical="center" wrapText="1"/>
    </xf>
    <xf numFmtId="0" fontId="1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3" fontId="28" fillId="2" borderId="2" xfId="0" applyNumberFormat="1" applyFont="1" applyFill="1" applyBorder="1" applyAlignment="1">
      <alignment horizontal="center" vertical="center" wrapText="1"/>
    </xf>
    <xf numFmtId="0" fontId="5" fillId="2" borderId="2" xfId="0" quotePrefix="1" applyFont="1" applyFill="1" applyBorder="1" applyAlignment="1">
      <alignment horizontal="left" vertical="center" wrapText="1"/>
    </xf>
    <xf numFmtId="0" fontId="3" fillId="6" borderId="2" xfId="0" applyFont="1" applyFill="1" applyBorder="1" applyAlignment="1">
      <alignment horizontal="left" vertical="center" wrapText="1"/>
    </xf>
    <xf numFmtId="3" fontId="17" fillId="2" borderId="2" xfId="0" applyNumberFormat="1" applyFont="1" applyFill="1" applyBorder="1" applyAlignment="1">
      <alignment horizontal="center" vertical="center" wrapText="1"/>
    </xf>
    <xf numFmtId="2" fontId="17" fillId="2" borderId="2" xfId="1" applyNumberFormat="1" applyFont="1" applyFill="1" applyBorder="1" applyAlignment="1">
      <alignment horizontal="center" vertical="center"/>
    </xf>
    <xf numFmtId="0" fontId="17" fillId="2" borderId="2" xfId="0" applyFont="1" applyFill="1" applyBorder="1" applyAlignment="1">
      <alignment horizontal="center" vertical="center"/>
    </xf>
    <xf numFmtId="0" fontId="21" fillId="2" borderId="2" xfId="0" quotePrefix="1" applyFont="1" applyFill="1" applyBorder="1" applyAlignment="1">
      <alignment vertical="center" wrapText="1"/>
    </xf>
    <xf numFmtId="0" fontId="18" fillId="7" borderId="3" xfId="0" applyFont="1" applyFill="1" applyBorder="1" applyAlignment="1">
      <alignment horizontal="center" vertical="center"/>
    </xf>
    <xf numFmtId="0" fontId="10" fillId="8" borderId="2" xfId="0" applyFont="1" applyFill="1" applyBorder="1" applyAlignment="1">
      <alignment vertical="center" wrapText="1"/>
    </xf>
    <xf numFmtId="0" fontId="10" fillId="0" borderId="2" xfId="0" applyFont="1" applyBorder="1" applyAlignment="1">
      <alignment horizontal="center" vertical="center" wrapText="1"/>
    </xf>
    <xf numFmtId="0" fontId="12" fillId="0" borderId="2" xfId="0" applyFont="1" applyBorder="1" applyAlignment="1">
      <alignment horizontal="center" vertical="center" wrapText="1"/>
    </xf>
    <xf numFmtId="3" fontId="32" fillId="5" borderId="2" xfId="3" applyNumberFormat="1" applyFont="1" applyFill="1" applyBorder="1" applyAlignment="1">
      <alignment horizontal="center" vertical="center"/>
    </xf>
    <xf numFmtId="3" fontId="25" fillId="2" borderId="3" xfId="0" applyNumberFormat="1" applyFont="1" applyFill="1" applyBorder="1" applyAlignment="1">
      <alignment horizontal="left" vertical="center" wrapText="1"/>
    </xf>
    <xf numFmtId="0" fontId="4" fillId="0" borderId="0" xfId="3" applyFont="1" applyAlignment="1">
      <alignment horizontal="center" vertical="center" wrapText="1"/>
    </xf>
    <xf numFmtId="0" fontId="12" fillId="0" borderId="0" xfId="3" applyFont="1"/>
    <xf numFmtId="0" fontId="12" fillId="0" borderId="0" xfId="3" applyFont="1" applyAlignment="1">
      <alignment horizontal="center" vertical="center" wrapText="1"/>
    </xf>
    <xf numFmtId="0" fontId="18" fillId="10" borderId="3" xfId="0" applyFont="1" applyFill="1" applyBorder="1" applyAlignment="1">
      <alignment horizontal="center" vertical="center"/>
    </xf>
    <xf numFmtId="3" fontId="8" fillId="10" borderId="2" xfId="0" applyNumberFormat="1" applyFont="1" applyFill="1" applyBorder="1" applyAlignment="1">
      <alignment horizontal="center" vertical="center"/>
    </xf>
    <xf numFmtId="0" fontId="34" fillId="0" borderId="0" xfId="0" applyFont="1"/>
    <xf numFmtId="0" fontId="34" fillId="2" borderId="0" xfId="0" applyFont="1" applyFill="1"/>
    <xf numFmtId="0" fontId="35" fillId="0" borderId="0" xfId="3" applyFont="1"/>
    <xf numFmtId="0" fontId="35" fillId="0" borderId="0" xfId="3" applyFont="1" applyAlignment="1">
      <alignment wrapText="1"/>
    </xf>
    <xf numFmtId="0" fontId="34" fillId="0" borderId="0" xfId="3" applyFont="1"/>
    <xf numFmtId="0" fontId="36" fillId="2" borderId="0" xfId="0" applyFont="1" applyFill="1"/>
    <xf numFmtId="0" fontId="36" fillId="0" borderId="0" xfId="0" applyFont="1"/>
    <xf numFmtId="0" fontId="37" fillId="0" borderId="0" xfId="0" applyFont="1"/>
    <xf numFmtId="0" fontId="11" fillId="0" borderId="2" xfId="0" applyFont="1" applyBorder="1" applyAlignment="1">
      <alignment horizontal="center" vertical="center" wrapText="1"/>
    </xf>
    <xf numFmtId="0" fontId="19" fillId="0" borderId="2" xfId="0" applyFont="1" applyBorder="1" applyAlignment="1">
      <alignment horizontal="left" vertical="center" wrapText="1"/>
    </xf>
    <xf numFmtId="0" fontId="4" fillId="2" borderId="2" xfId="0" applyFont="1" applyFill="1" applyBorder="1" applyAlignment="1">
      <alignment horizontal="center" wrapText="1"/>
    </xf>
    <xf numFmtId="2" fontId="10" fillId="2" borderId="2" xfId="7" applyNumberFormat="1" applyFont="1" applyFill="1" applyBorder="1" applyAlignment="1">
      <alignment horizontal="center" vertical="center"/>
    </xf>
    <xf numFmtId="2" fontId="10" fillId="0" borderId="2" xfId="7" applyNumberFormat="1" applyFont="1" applyFill="1" applyBorder="1" applyAlignment="1">
      <alignment horizontal="center" vertical="center"/>
    </xf>
    <xf numFmtId="2" fontId="16" fillId="2" borderId="2" xfId="7" applyNumberFormat="1" applyFont="1" applyFill="1" applyBorder="1" applyAlignment="1">
      <alignment horizontal="center" vertical="center"/>
    </xf>
    <xf numFmtId="2" fontId="25" fillId="2" borderId="2" xfId="7" applyNumberFormat="1" applyFont="1" applyFill="1" applyBorder="1" applyAlignment="1">
      <alignment horizontal="center" vertical="center"/>
    </xf>
    <xf numFmtId="0" fontId="13" fillId="2" borderId="3" xfId="0" applyFont="1" applyFill="1" applyBorder="1" applyAlignment="1">
      <alignment horizontal="left" vertical="center" wrapText="1"/>
    </xf>
    <xf numFmtId="0" fontId="38" fillId="3" borderId="2" xfId="3" applyFont="1" applyFill="1" applyBorder="1" applyAlignment="1">
      <alignment horizontal="center" vertical="center"/>
    </xf>
    <xf numFmtId="0" fontId="38" fillId="3" borderId="2" xfId="3" applyFont="1" applyFill="1" applyBorder="1" applyAlignment="1">
      <alignment horizontal="center" vertical="center" wrapText="1"/>
    </xf>
    <xf numFmtId="0" fontId="11" fillId="0" borderId="0" xfId="3" applyFont="1"/>
    <xf numFmtId="0" fontId="4" fillId="0" borderId="0" xfId="3" applyFont="1"/>
    <xf numFmtId="0" fontId="17" fillId="2" borderId="2" xfId="0" applyFont="1" applyFill="1" applyBorder="1" applyAlignment="1">
      <alignment horizontal="left" vertical="center" wrapText="1"/>
    </xf>
    <xf numFmtId="0" fontId="39" fillId="2" borderId="0" xfId="0" applyFont="1" applyFill="1"/>
    <xf numFmtId="0" fontId="40" fillId="2" borderId="0" xfId="0" applyFont="1" applyFill="1"/>
    <xf numFmtId="0" fontId="24" fillId="10" borderId="3" xfId="0" applyFont="1" applyFill="1" applyBorder="1" applyAlignment="1">
      <alignment horizontal="left" vertical="center" wrapText="1"/>
    </xf>
    <xf numFmtId="0" fontId="23" fillId="0" borderId="2" xfId="0" applyFont="1" applyBorder="1" applyAlignment="1">
      <alignment horizontal="left" vertical="center" wrapText="1"/>
    </xf>
    <xf numFmtId="0" fontId="41" fillId="0" borderId="0" xfId="3" applyFont="1"/>
    <xf numFmtId="0" fontId="16" fillId="2" borderId="4" xfId="0" applyFont="1" applyFill="1" applyBorder="1" applyAlignment="1">
      <alignment horizontal="left" vertical="center" wrapText="1"/>
    </xf>
    <xf numFmtId="0" fontId="12" fillId="0" borderId="3" xfId="0" quotePrefix="1" applyFont="1" applyBorder="1" applyAlignment="1">
      <alignment horizontal="left" vertical="center" wrapText="1"/>
    </xf>
    <xf numFmtId="0" fontId="16" fillId="2" borderId="3" xfId="0" applyFont="1" applyFill="1" applyBorder="1" applyAlignment="1">
      <alignment horizontal="center" vertical="center" wrapText="1"/>
    </xf>
    <xf numFmtId="0" fontId="16" fillId="2" borderId="4" xfId="0" applyFont="1" applyFill="1" applyBorder="1" applyAlignment="1">
      <alignment horizontal="center" vertical="center" wrapText="1"/>
    </xf>
    <xf numFmtId="3" fontId="25" fillId="2" borderId="2" xfId="0" applyNumberFormat="1" applyFont="1" applyFill="1" applyBorder="1" applyAlignment="1">
      <alignment vertical="center" wrapText="1"/>
    </xf>
    <xf numFmtId="0" fontId="8" fillId="2" borderId="0" xfId="0" applyFont="1" applyFill="1"/>
    <xf numFmtId="0" fontId="42" fillId="2" borderId="2"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37" fillId="2" borderId="0" xfId="0" applyFont="1" applyFill="1"/>
    <xf numFmtId="0" fontId="20" fillId="2" borderId="3" xfId="0" applyFont="1" applyFill="1" applyBorder="1" applyAlignment="1">
      <alignment horizontal="center" vertical="center" wrapText="1"/>
    </xf>
    <xf numFmtId="2" fontId="34" fillId="2" borderId="0" xfId="0" applyNumberFormat="1" applyFont="1" applyFill="1"/>
    <xf numFmtId="0" fontId="21" fillId="2" borderId="3" xfId="0" applyFont="1" applyFill="1" applyBorder="1" applyAlignment="1">
      <alignment horizontal="center" vertical="center" wrapText="1"/>
    </xf>
    <xf numFmtId="2" fontId="16" fillId="2" borderId="2" xfId="0" applyNumberFormat="1" applyFont="1" applyFill="1" applyBorder="1" applyAlignment="1">
      <alignment horizontal="center" vertical="center"/>
    </xf>
    <xf numFmtId="0" fontId="13" fillId="2" borderId="3" xfId="8" applyFont="1" applyFill="1" applyBorder="1" applyAlignment="1">
      <alignment vertical="center" wrapText="1"/>
    </xf>
    <xf numFmtId="0" fontId="11" fillId="2" borderId="0" xfId="0" applyFont="1" applyFill="1"/>
    <xf numFmtId="3" fontId="12" fillId="0" borderId="2" xfId="0" applyNumberFormat="1" applyFont="1" applyBorder="1" applyAlignment="1">
      <alignment horizontal="center" vertical="center"/>
    </xf>
    <xf numFmtId="4" fontId="12" fillId="2" borderId="2" xfId="7" applyNumberFormat="1" applyFont="1" applyFill="1" applyBorder="1" applyAlignment="1">
      <alignment horizontal="center" vertical="center"/>
    </xf>
    <xf numFmtId="0" fontId="21" fillId="2" borderId="2" xfId="0" applyFont="1" applyFill="1" applyBorder="1" applyAlignment="1">
      <alignment horizontal="center" vertical="center" wrapText="1"/>
    </xf>
    <xf numFmtId="3" fontId="12" fillId="2" borderId="2" xfId="0" applyNumberFormat="1" applyFont="1" applyFill="1" applyBorder="1" applyAlignment="1">
      <alignment horizontal="center" vertical="center"/>
    </xf>
    <xf numFmtId="3" fontId="11" fillId="2" borderId="2" xfId="0" applyNumberFormat="1" applyFont="1" applyFill="1" applyBorder="1" applyAlignment="1">
      <alignment vertical="center" wrapText="1"/>
    </xf>
    <xf numFmtId="0" fontId="15" fillId="2" borderId="2" xfId="0" applyFont="1" applyFill="1" applyBorder="1"/>
    <xf numFmtId="0" fontId="4" fillId="2" borderId="5"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4" fillId="0" borderId="0" xfId="0" quotePrefix="1" applyFont="1"/>
    <xf numFmtId="0" fontId="34" fillId="2" borderId="0" xfId="0" quotePrefix="1" applyFont="1" applyFill="1"/>
    <xf numFmtId="0" fontId="13" fillId="8" borderId="3" xfId="0" applyFont="1" applyFill="1" applyBorder="1" applyAlignment="1">
      <alignment horizontal="left" vertical="center" wrapText="1"/>
    </xf>
    <xf numFmtId="0" fontId="19" fillId="2" borderId="3" xfId="0" applyFont="1" applyFill="1" applyBorder="1" applyAlignment="1">
      <alignment horizontal="center" vertical="center" wrapText="1"/>
    </xf>
    <xf numFmtId="0" fontId="16" fillId="8" borderId="2" xfId="0" applyFont="1" applyFill="1" applyBorder="1" applyAlignment="1">
      <alignment horizontal="left" vertical="center" wrapText="1"/>
    </xf>
    <xf numFmtId="0" fontId="44" fillId="2" borderId="0" xfId="0" applyFont="1" applyFill="1"/>
    <xf numFmtId="0" fontId="45" fillId="2" borderId="0" xfId="0" applyFont="1" applyFill="1"/>
    <xf numFmtId="0" fontId="10" fillId="2" borderId="3" xfId="8" applyFont="1" applyFill="1" applyBorder="1" applyAlignment="1">
      <alignment horizontal="left" vertical="center" wrapText="1"/>
    </xf>
    <xf numFmtId="0" fontId="5" fillId="0" borderId="2" xfId="0" quotePrefix="1" applyFont="1" applyBorder="1" applyAlignment="1">
      <alignment horizontal="left" vertical="center" wrapText="1"/>
    </xf>
    <xf numFmtId="0" fontId="42" fillId="0" borderId="2" xfId="0" applyFont="1" applyBorder="1" applyAlignment="1">
      <alignment horizontal="left" vertical="center" wrapText="1"/>
    </xf>
    <xf numFmtId="0" fontId="16" fillId="0" borderId="2" xfId="0" applyFont="1" applyBorder="1" applyAlignment="1">
      <alignment vertical="center" wrapText="1"/>
    </xf>
    <xf numFmtId="3" fontId="16" fillId="0" borderId="2" xfId="0" applyNumberFormat="1" applyFont="1" applyBorder="1" applyAlignment="1">
      <alignment horizontal="center" vertical="center" wrapText="1"/>
    </xf>
    <xf numFmtId="0" fontId="19" fillId="0" borderId="2" xfId="0" quotePrefix="1" applyFont="1" applyBorder="1" applyAlignment="1">
      <alignment vertical="center" wrapText="1"/>
    </xf>
    <xf numFmtId="0" fontId="12" fillId="0" borderId="3" xfId="0" applyFont="1" applyBorder="1" applyAlignment="1">
      <alignment horizontal="center" vertical="center"/>
    </xf>
    <xf numFmtId="0" fontId="20" fillId="0" borderId="2" xfId="0" applyFont="1" applyBorder="1" applyAlignment="1">
      <alignment horizontal="center" vertical="center" wrapText="1"/>
    </xf>
    <xf numFmtId="2" fontId="10" fillId="0" borderId="2" xfId="0" applyNumberFormat="1" applyFont="1" applyBorder="1" applyAlignment="1">
      <alignment horizontal="center" vertical="center"/>
    </xf>
    <xf numFmtId="0" fontId="13" fillId="0" borderId="2" xfId="0" applyFont="1" applyBorder="1" applyAlignment="1">
      <alignment horizontal="left" vertical="center" wrapText="1"/>
    </xf>
    <xf numFmtId="0" fontId="20" fillId="0" borderId="3" xfId="0" applyFont="1" applyBorder="1" applyAlignment="1">
      <alignment horizontal="center" vertical="center" wrapText="1"/>
    </xf>
    <xf numFmtId="0" fontId="17" fillId="0" borderId="0" xfId="0" applyFont="1"/>
    <xf numFmtId="0" fontId="13" fillId="0" borderId="3" xfId="0" applyFont="1" applyBorder="1" applyAlignment="1">
      <alignment horizontal="center" vertical="center"/>
    </xf>
    <xf numFmtId="0" fontId="10" fillId="0" borderId="3" xfId="0" applyFont="1" applyBorder="1" applyAlignment="1">
      <alignment horizontal="center" vertical="center"/>
    </xf>
    <xf numFmtId="0" fontId="13" fillId="0" borderId="3" xfId="0" applyFont="1" applyBorder="1" applyAlignment="1">
      <alignment horizontal="left" vertical="center" wrapText="1"/>
    </xf>
    <xf numFmtId="3" fontId="42" fillId="0" borderId="2" xfId="0" applyNumberFormat="1" applyFont="1" applyBorder="1" applyAlignment="1">
      <alignment horizontal="center" vertical="center" wrapText="1"/>
    </xf>
    <xf numFmtId="10" fontId="10" fillId="0" borderId="2" xfId="9" quotePrefix="1" applyNumberFormat="1" applyFont="1" applyFill="1" applyBorder="1" applyAlignment="1">
      <alignment horizontal="left" vertical="center" wrapText="1"/>
    </xf>
    <xf numFmtId="11" fontId="46" fillId="0" borderId="0" xfId="0" applyNumberFormat="1" applyFont="1"/>
    <xf numFmtId="0" fontId="5" fillId="0" borderId="0" xfId="0" applyFont="1"/>
    <xf numFmtId="3" fontId="19" fillId="0" borderId="2" xfId="0" applyNumberFormat="1" applyFont="1" applyBorder="1" applyAlignment="1">
      <alignment horizontal="center" vertical="center" wrapText="1"/>
    </xf>
    <xf numFmtId="10" fontId="12" fillId="0" borderId="2" xfId="9" quotePrefix="1" applyNumberFormat="1" applyFont="1" applyFill="1" applyBorder="1" applyAlignment="1">
      <alignment horizontal="left" vertical="center" wrapText="1"/>
    </xf>
    <xf numFmtId="11" fontId="11" fillId="0" borderId="0" xfId="0" applyNumberFormat="1" applyFont="1"/>
    <xf numFmtId="0" fontId="13" fillId="2" borderId="3" xfId="0" applyFont="1" applyFill="1" applyBorder="1" applyAlignment="1">
      <alignment horizontal="center" vertical="center"/>
    </xf>
    <xf numFmtId="3" fontId="5" fillId="2" borderId="2" xfId="0" applyNumberFormat="1" applyFont="1" applyFill="1" applyBorder="1" applyAlignment="1">
      <alignment horizontal="center" wrapText="1"/>
    </xf>
    <xf numFmtId="0" fontId="4" fillId="2" borderId="3" xfId="0" applyFont="1" applyFill="1" applyBorder="1" applyAlignment="1">
      <alignment horizontal="center" wrapText="1"/>
    </xf>
    <xf numFmtId="0" fontId="12" fillId="2" borderId="3" xfId="0" applyFont="1" applyFill="1" applyBorder="1" applyAlignment="1">
      <alignment horizontal="left" vertical="center" wrapText="1"/>
    </xf>
    <xf numFmtId="0" fontId="10" fillId="2" borderId="6" xfId="0" applyFont="1" applyFill="1" applyBorder="1" applyAlignment="1">
      <alignment horizontal="center" vertical="center"/>
    </xf>
    <xf numFmtId="3" fontId="21" fillId="2" borderId="2" xfId="0" applyNumberFormat="1" applyFont="1" applyFill="1" applyBorder="1" applyAlignment="1">
      <alignment vertical="center" wrapText="1"/>
    </xf>
    <xf numFmtId="3" fontId="16" fillId="2" borderId="2" xfId="0" applyNumberFormat="1" applyFont="1" applyFill="1" applyBorder="1" applyAlignment="1">
      <alignment horizontal="left" vertical="center" wrapText="1"/>
    </xf>
    <xf numFmtId="0" fontId="27" fillId="0" borderId="2" xfId="0" applyFont="1" applyBorder="1" applyAlignment="1">
      <alignment horizontal="center" vertical="center"/>
    </xf>
    <xf numFmtId="3" fontId="19" fillId="2" borderId="2" xfId="0" applyNumberFormat="1" applyFont="1" applyFill="1" applyBorder="1" applyAlignment="1">
      <alignment horizontal="center" vertical="center" wrapText="1"/>
    </xf>
    <xf numFmtId="0" fontId="12" fillId="2" borderId="2" xfId="0" quotePrefix="1" applyFont="1" applyFill="1" applyBorder="1" applyAlignment="1">
      <alignment vertical="center" wrapText="1"/>
    </xf>
    <xf numFmtId="0" fontId="44" fillId="0" borderId="0" xfId="0" applyFont="1"/>
    <xf numFmtId="0" fontId="16" fillId="0" borderId="4" xfId="0" applyFont="1" applyBorder="1" applyAlignment="1">
      <alignment horizontal="left" vertical="center" wrapText="1"/>
    </xf>
    <xf numFmtId="0" fontId="16" fillId="0" borderId="2" xfId="0" applyFont="1" applyBorder="1" applyAlignment="1">
      <alignment horizontal="center" vertical="center"/>
    </xf>
    <xf numFmtId="2" fontId="16" fillId="0" borderId="2" xfId="7" applyNumberFormat="1" applyFont="1" applyFill="1" applyBorder="1" applyAlignment="1">
      <alignment horizontal="center" vertical="center"/>
    </xf>
    <xf numFmtId="0" fontId="21" fillId="0" borderId="3" xfId="0" applyFont="1" applyBorder="1" applyAlignment="1">
      <alignment horizontal="center" vertical="center" wrapText="1"/>
    </xf>
    <xf numFmtId="0" fontId="16" fillId="0" borderId="3" xfId="0" applyFont="1" applyBorder="1" applyAlignment="1">
      <alignment horizontal="left" vertical="center" wrapText="1"/>
    </xf>
    <xf numFmtId="0" fontId="23" fillId="0" borderId="3" xfId="0" applyFont="1" applyBorder="1" applyAlignment="1">
      <alignment horizontal="center" vertical="center" wrapText="1"/>
    </xf>
    <xf numFmtId="0" fontId="47" fillId="0" borderId="2" xfId="0" applyFont="1" applyBorder="1" applyAlignment="1">
      <alignment horizontal="left" vertical="center" wrapText="1"/>
    </xf>
    <xf numFmtId="3" fontId="11" fillId="0" borderId="2" xfId="0" applyNumberFormat="1" applyFont="1" applyBorder="1" applyAlignment="1">
      <alignment vertical="center" wrapText="1"/>
    </xf>
    <xf numFmtId="0" fontId="12" fillId="0" borderId="3" xfId="0" applyFont="1" applyBorder="1" applyAlignment="1">
      <alignment horizontal="left" vertical="center" wrapText="1"/>
    </xf>
    <xf numFmtId="0" fontId="40" fillId="0" borderId="0" xfId="0" applyFont="1"/>
    <xf numFmtId="0" fontId="39" fillId="0" borderId="0" xfId="0" applyFont="1"/>
    <xf numFmtId="0" fontId="16" fillId="0" borderId="2" xfId="0" applyFont="1" applyBorder="1" applyAlignment="1">
      <alignment horizontal="left" vertical="center" wrapText="1"/>
    </xf>
    <xf numFmtId="2" fontId="16" fillId="0" borderId="2" xfId="1" applyNumberFormat="1" applyFont="1" applyFill="1" applyBorder="1" applyAlignment="1">
      <alignment horizontal="center" vertical="center"/>
    </xf>
    <xf numFmtId="3" fontId="17" fillId="0" borderId="2" xfId="0" applyNumberFormat="1" applyFont="1" applyBorder="1" applyAlignment="1">
      <alignment horizontal="center" vertical="center" wrapText="1"/>
    </xf>
    <xf numFmtId="0" fontId="17" fillId="0" borderId="2" xfId="0" applyFont="1" applyBorder="1" applyAlignment="1">
      <alignment horizontal="center" vertical="center"/>
    </xf>
    <xf numFmtId="2" fontId="17" fillId="0" borderId="2" xfId="7" applyNumberFormat="1" applyFont="1" applyFill="1" applyBorder="1" applyAlignment="1">
      <alignment horizontal="center" vertical="center"/>
    </xf>
    <xf numFmtId="0" fontId="23" fillId="0" borderId="2" xfId="0" applyFont="1" applyBorder="1" applyAlignment="1">
      <alignment vertical="center" wrapText="1"/>
    </xf>
    <xf numFmtId="0" fontId="19" fillId="0" borderId="2" xfId="0" applyFont="1" applyBorder="1" applyAlignment="1">
      <alignment vertical="center" wrapText="1"/>
    </xf>
    <xf numFmtId="4" fontId="10" fillId="0" borderId="2" xfId="1" applyNumberFormat="1" applyFont="1" applyFill="1" applyBorder="1" applyAlignment="1">
      <alignment horizontal="center" vertical="center"/>
    </xf>
    <xf numFmtId="0" fontId="12" fillId="0" borderId="9" xfId="0" applyFont="1" applyBorder="1" applyAlignment="1">
      <alignment horizontal="left" vertical="center" wrapText="1"/>
    </xf>
    <xf numFmtId="0" fontId="19" fillId="0" borderId="2" xfId="0" applyFont="1" applyBorder="1" applyAlignment="1">
      <alignment horizontal="center" vertical="center" wrapText="1"/>
    </xf>
    <xf numFmtId="0" fontId="23" fillId="2" borderId="4" xfId="0" applyFont="1" applyFill="1" applyBorder="1" applyAlignment="1">
      <alignment horizontal="center" vertical="center" wrapText="1"/>
    </xf>
    <xf numFmtId="3" fontId="11" fillId="0" borderId="2" xfId="0" applyNumberFormat="1" applyFont="1" applyBorder="1" applyAlignment="1">
      <alignment horizontal="center" vertical="center" wrapText="1"/>
    </xf>
    <xf numFmtId="0" fontId="13" fillId="0" borderId="3" xfId="8" applyFont="1" applyBorder="1" applyAlignment="1">
      <alignment vertical="center" wrapText="1"/>
    </xf>
    <xf numFmtId="0" fontId="10" fillId="0" borderId="2" xfId="0" applyFont="1" applyBorder="1" applyAlignment="1">
      <alignment vertical="center" wrapText="1"/>
    </xf>
    <xf numFmtId="0" fontId="34" fillId="0" borderId="0" xfId="0" applyFont="1" applyAlignment="1">
      <alignment horizontal="left" vertical="center"/>
    </xf>
    <xf numFmtId="3" fontId="5" fillId="0" borderId="2" xfId="0" applyNumberFormat="1" applyFont="1" applyBorder="1" applyAlignment="1">
      <alignment horizontal="center" wrapText="1"/>
    </xf>
    <xf numFmtId="0" fontId="4" fillId="0" borderId="4" xfId="0" applyFont="1" applyBorder="1" applyAlignment="1">
      <alignment horizontal="left" vertical="center" wrapText="1"/>
    </xf>
    <xf numFmtId="3" fontId="20" fillId="0" borderId="2" xfId="0" applyNumberFormat="1" applyFont="1" applyBorder="1" applyAlignment="1">
      <alignment horizontal="center" vertical="center" wrapText="1"/>
    </xf>
    <xf numFmtId="0" fontId="12" fillId="0" borderId="2" xfId="0" quotePrefix="1" applyFont="1" applyBorder="1" applyAlignment="1">
      <alignment vertical="center" wrapText="1"/>
    </xf>
    <xf numFmtId="0" fontId="34" fillId="0" borderId="0" xfId="0" applyFont="1" applyAlignment="1">
      <alignment vertical="center"/>
    </xf>
    <xf numFmtId="3" fontId="19" fillId="0" borderId="2" xfId="0" applyNumberFormat="1" applyFont="1" applyBorder="1" applyAlignment="1">
      <alignment vertical="center" wrapText="1"/>
    </xf>
    <xf numFmtId="3" fontId="11" fillId="0" borderId="3" xfId="0" applyNumberFormat="1" applyFont="1" applyBorder="1" applyAlignment="1">
      <alignment horizontal="center" vertical="center" wrapText="1"/>
    </xf>
    <xf numFmtId="0" fontId="21" fillId="0" borderId="2" xfId="0" quotePrefix="1" applyFont="1" applyBorder="1" applyAlignment="1">
      <alignment vertical="center" wrapText="1"/>
    </xf>
    <xf numFmtId="0" fontId="13" fillId="2" borderId="4" xfId="0" applyFont="1" applyFill="1" applyBorder="1" applyAlignment="1">
      <alignment horizontal="center" vertical="center"/>
    </xf>
    <xf numFmtId="0" fontId="11" fillId="2" borderId="3" xfId="0" applyFont="1" applyFill="1" applyBorder="1" applyAlignment="1">
      <alignment horizontal="center" vertical="center" wrapText="1"/>
    </xf>
    <xf numFmtId="3" fontId="10" fillId="0" borderId="2" xfId="0" applyNumberFormat="1" applyFont="1" applyBorder="1" applyAlignment="1">
      <alignment vertical="center"/>
    </xf>
    <xf numFmtId="0" fontId="10" fillId="2" borderId="2" xfId="0" applyFont="1" applyFill="1" applyBorder="1" applyAlignment="1">
      <alignment vertical="center" wrapText="1"/>
    </xf>
    <xf numFmtId="0" fontId="21" fillId="2" borderId="2" xfId="0" applyFont="1" applyFill="1" applyBorder="1" applyAlignment="1">
      <alignment vertical="center" wrapText="1"/>
    </xf>
    <xf numFmtId="0" fontId="23" fillId="0" borderId="3" xfId="0" applyFont="1" applyBorder="1" applyAlignment="1">
      <alignment vertical="center" wrapText="1"/>
    </xf>
    <xf numFmtId="3" fontId="25" fillId="2" borderId="2" xfId="0" applyNumberFormat="1" applyFont="1" applyFill="1" applyBorder="1" applyAlignment="1">
      <alignment horizontal="center" vertical="center"/>
    </xf>
    <xf numFmtId="3" fontId="50" fillId="2" borderId="2" xfId="0" applyNumberFormat="1" applyFont="1" applyFill="1" applyBorder="1" applyAlignment="1">
      <alignment horizontal="center" vertical="center"/>
    </xf>
    <xf numFmtId="0" fontId="25" fillId="8" borderId="2" xfId="0" applyFont="1" applyFill="1" applyBorder="1" applyAlignment="1">
      <alignment horizontal="left" vertical="center" wrapText="1"/>
    </xf>
    <xf numFmtId="0" fontId="51" fillId="2" borderId="0" xfId="0" applyFont="1" applyFill="1"/>
    <xf numFmtId="0" fontId="25" fillId="2" borderId="0" xfId="0" applyFont="1" applyFill="1"/>
    <xf numFmtId="0" fontId="4" fillId="0" borderId="10" xfId="0" applyFont="1" applyBorder="1" applyAlignment="1">
      <alignment horizontal="center" wrapText="1"/>
    </xf>
    <xf numFmtId="0" fontId="12" fillId="0" borderId="11" xfId="0" applyFont="1" applyBorder="1" applyAlignment="1">
      <alignment horizontal="center" vertical="center"/>
    </xf>
    <xf numFmtId="4" fontId="12" fillId="0" borderId="11" xfId="0" applyNumberFormat="1" applyFont="1" applyBorder="1" applyAlignment="1">
      <alignment horizontal="center" vertical="center"/>
    </xf>
    <xf numFmtId="2" fontId="12" fillId="0" borderId="11" xfId="0" applyNumberFormat="1" applyFont="1" applyBorder="1" applyAlignment="1">
      <alignment horizontal="center" vertical="center"/>
    </xf>
    <xf numFmtId="3" fontId="12" fillId="0" borderId="11" xfId="0" applyNumberFormat="1" applyFont="1" applyBorder="1" applyAlignment="1">
      <alignment horizontal="center" vertical="center"/>
    </xf>
    <xf numFmtId="3" fontId="12" fillId="0" borderId="12" xfId="0" applyNumberFormat="1" applyFont="1" applyBorder="1" applyAlignment="1">
      <alignment horizontal="left" vertical="center" wrapText="1"/>
    </xf>
    <xf numFmtId="3" fontId="12" fillId="0" borderId="13" xfId="0" applyNumberFormat="1" applyFont="1" applyBorder="1" applyAlignment="1">
      <alignment horizontal="center" vertical="center"/>
    </xf>
    <xf numFmtId="3" fontId="12" fillId="0" borderId="2" xfId="0" applyNumberFormat="1" applyFont="1" applyBorder="1" applyAlignment="1">
      <alignment horizontal="left" vertical="center" wrapText="1"/>
    </xf>
    <xf numFmtId="0" fontId="10" fillId="2" borderId="8" xfId="0" applyFont="1" applyFill="1" applyBorder="1" applyAlignment="1">
      <alignment horizontal="center" vertical="center"/>
    </xf>
    <xf numFmtId="0" fontId="18" fillId="10" borderId="5" xfId="0" applyFont="1" applyFill="1" applyBorder="1" applyAlignment="1">
      <alignment horizontal="left" vertical="center" wrapText="1"/>
    </xf>
    <xf numFmtId="0" fontId="18" fillId="10" borderId="6" xfId="0" applyFont="1" applyFill="1" applyBorder="1" applyAlignment="1">
      <alignment horizontal="left" vertical="center" wrapText="1"/>
    </xf>
    <xf numFmtId="0" fontId="18" fillId="10" borderId="7" xfId="0" applyFont="1" applyFill="1" applyBorder="1" applyAlignment="1">
      <alignment horizontal="left" vertical="center" wrapText="1"/>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8" xfId="0" applyFont="1" applyFill="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8" fillId="7" borderId="2" xfId="0" applyFont="1" applyFill="1" applyBorder="1" applyAlignment="1">
      <alignment horizontal="left" vertical="center" wrapText="1"/>
    </xf>
    <xf numFmtId="0" fontId="12" fillId="2" borderId="3"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4" xfId="0" applyFont="1" applyFill="1" applyBorder="1" applyAlignment="1">
      <alignment horizontal="center" vertical="center"/>
    </xf>
    <xf numFmtId="0" fontId="10" fillId="0" borderId="3" xfId="0" applyFont="1" applyBorder="1" applyAlignment="1">
      <alignment horizontal="center" vertical="center"/>
    </xf>
    <xf numFmtId="0" fontId="10" fillId="0" borderId="8" xfId="0" applyFont="1" applyBorder="1" applyAlignment="1">
      <alignment horizontal="center" vertical="center"/>
    </xf>
    <xf numFmtId="0" fontId="12" fillId="0" borderId="3" xfId="0" applyFont="1" applyBorder="1" applyAlignment="1">
      <alignment horizontal="center" vertical="center"/>
    </xf>
    <xf numFmtId="0" fontId="12" fillId="0" borderId="8" xfId="0" applyFont="1" applyBorder="1" applyAlignment="1">
      <alignment horizontal="center" vertical="center"/>
    </xf>
    <xf numFmtId="0" fontId="12" fillId="0" borderId="4" xfId="0" applyFont="1" applyBorder="1" applyAlignment="1">
      <alignment horizontal="center" vertical="center"/>
    </xf>
    <xf numFmtId="0" fontId="13" fillId="2" borderId="3"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4" xfId="0" applyFont="1" applyFill="1" applyBorder="1" applyAlignment="1">
      <alignment horizontal="center" vertical="center"/>
    </xf>
    <xf numFmtId="0" fontId="18" fillId="7" borderId="5" xfId="0" applyFont="1" applyFill="1" applyBorder="1" applyAlignment="1">
      <alignment horizontal="left" vertical="center" wrapText="1"/>
    </xf>
    <xf numFmtId="0" fontId="18" fillId="7" borderId="6" xfId="0" applyFont="1" applyFill="1" applyBorder="1" applyAlignment="1">
      <alignment horizontal="left" vertical="center" wrapText="1"/>
    </xf>
    <xf numFmtId="0" fontId="18" fillId="7" borderId="7" xfId="0" applyFont="1" applyFill="1" applyBorder="1" applyAlignment="1">
      <alignment horizontal="left" vertical="center" wrapText="1"/>
    </xf>
    <xf numFmtId="0" fontId="48" fillId="0" borderId="2" xfId="3" quotePrefix="1" applyFont="1" applyBorder="1" applyAlignment="1">
      <alignment horizontal="left" vertical="top" wrapText="1"/>
    </xf>
    <xf numFmtId="0" fontId="48" fillId="0" borderId="2" xfId="3" applyFont="1" applyBorder="1" applyAlignment="1">
      <alignment horizontal="left" vertical="top" wrapText="1"/>
    </xf>
    <xf numFmtId="0" fontId="49" fillId="0" borderId="2" xfId="3" quotePrefix="1" applyFont="1" applyBorder="1" applyAlignment="1">
      <alignment horizontal="left" vertical="top" wrapText="1"/>
    </xf>
    <xf numFmtId="0" fontId="49" fillId="0" borderId="2" xfId="3" applyFont="1" applyBorder="1" applyAlignment="1">
      <alignment horizontal="left" vertical="top" wrapText="1"/>
    </xf>
    <xf numFmtId="0" fontId="10" fillId="0" borderId="3" xfId="0" quotePrefix="1" applyFont="1" applyBorder="1" applyAlignment="1">
      <alignment horizontal="left" vertical="center" wrapText="1"/>
    </xf>
    <xf numFmtId="0" fontId="10" fillId="0" borderId="8" xfId="0" quotePrefix="1" applyFont="1" applyBorder="1" applyAlignment="1">
      <alignment horizontal="left" vertical="center" wrapText="1"/>
    </xf>
    <xf numFmtId="0" fontId="10" fillId="0" borderId="4" xfId="0" applyFont="1" applyBorder="1" applyAlignment="1">
      <alignment horizontal="left" vertical="center" wrapText="1"/>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wrapText="1"/>
    </xf>
    <xf numFmtId="0" fontId="31" fillId="0" borderId="2" xfId="3" applyFont="1" applyBorder="1" applyAlignment="1">
      <alignment horizontal="left" vertical="center"/>
    </xf>
    <xf numFmtId="0" fontId="18" fillId="6" borderId="5" xfId="0" applyFont="1" applyFill="1" applyBorder="1" applyAlignment="1">
      <alignment horizontal="left" vertical="center" wrapText="1"/>
    </xf>
    <xf numFmtId="0" fontId="18" fillId="6" borderId="6" xfId="0" applyFont="1" applyFill="1" applyBorder="1" applyAlignment="1">
      <alignment horizontal="left" vertical="center" wrapText="1"/>
    </xf>
    <xf numFmtId="0" fontId="18" fillId="6" borderId="7" xfId="0" applyFont="1" applyFill="1" applyBorder="1" applyAlignment="1">
      <alignment horizontal="left" vertical="center" wrapText="1"/>
    </xf>
    <xf numFmtId="0" fontId="33" fillId="0" borderId="0" xfId="3" applyFont="1" applyAlignment="1">
      <alignment horizontal="center" vertical="center" wrapText="1"/>
    </xf>
    <xf numFmtId="0" fontId="12" fillId="0" borderId="0" xfId="3" applyFont="1" applyAlignment="1">
      <alignment horizontal="left" vertical="center" wrapText="1"/>
    </xf>
    <xf numFmtId="3" fontId="38" fillId="3" borderId="2" xfId="3" applyNumberFormat="1" applyFont="1" applyFill="1" applyBorder="1" applyAlignment="1">
      <alignment horizontal="center" vertical="center" wrapText="1"/>
    </xf>
    <xf numFmtId="3" fontId="38" fillId="4" borderId="2" xfId="3" applyNumberFormat="1" applyFont="1" applyFill="1" applyBorder="1" applyAlignment="1">
      <alignment horizontal="center" vertical="center"/>
    </xf>
    <xf numFmtId="0" fontId="38" fillId="3" borderId="2" xfId="3" applyFont="1" applyFill="1" applyBorder="1" applyAlignment="1">
      <alignment horizontal="center" vertical="center"/>
    </xf>
    <xf numFmtId="0" fontId="38" fillId="4" borderId="2" xfId="3" applyFont="1" applyFill="1" applyBorder="1" applyAlignment="1">
      <alignment horizontal="center" vertical="center"/>
    </xf>
    <xf numFmtId="0" fontId="10" fillId="0" borderId="2" xfId="0" applyFont="1" applyBorder="1" applyAlignment="1">
      <alignment horizontal="center" vertical="center"/>
    </xf>
    <xf numFmtId="0" fontId="32" fillId="5" borderId="5" xfId="3" applyFont="1" applyFill="1" applyBorder="1" applyAlignment="1">
      <alignment horizontal="center" vertical="center" wrapText="1"/>
    </xf>
    <xf numFmtId="0" fontId="32" fillId="5" borderId="6" xfId="3" applyFont="1" applyFill="1" applyBorder="1" applyAlignment="1">
      <alignment horizontal="center" vertical="center" wrapText="1"/>
    </xf>
    <xf numFmtId="0" fontId="32" fillId="5" borderId="7" xfId="3" applyFont="1" applyFill="1" applyBorder="1" applyAlignment="1">
      <alignment horizontal="center" vertical="center" wrapText="1"/>
    </xf>
    <xf numFmtId="0" fontId="9" fillId="0" borderId="0" xfId="3" applyFont="1" applyAlignment="1">
      <alignment horizontal="center" vertical="center"/>
    </xf>
    <xf numFmtId="0" fontId="4" fillId="0" borderId="1" xfId="3" applyFont="1" applyBorder="1" applyAlignment="1">
      <alignment horizontal="left" vertical="center" wrapText="1"/>
    </xf>
    <xf numFmtId="0" fontId="38" fillId="4" borderId="2" xfId="3" applyFont="1" applyFill="1" applyBorder="1" applyAlignment="1">
      <alignment vertical="center"/>
    </xf>
    <xf numFmtId="0" fontId="38" fillId="3" borderId="3" xfId="3" applyFont="1" applyFill="1" applyBorder="1" applyAlignment="1">
      <alignment horizontal="center" vertical="center"/>
    </xf>
    <xf numFmtId="0" fontId="38" fillId="3" borderId="4" xfId="3" applyFont="1" applyFill="1" applyBorder="1" applyAlignment="1">
      <alignment horizontal="center" vertical="center"/>
    </xf>
    <xf numFmtId="0" fontId="38" fillId="3" borderId="2" xfId="3" applyFont="1" applyFill="1" applyBorder="1" applyAlignment="1">
      <alignment horizontal="center" vertical="center" wrapText="1"/>
    </xf>
    <xf numFmtId="165" fontId="38" fillId="3" borderId="2" xfId="1" applyNumberFormat="1" applyFont="1" applyFill="1" applyBorder="1" applyAlignment="1">
      <alignment horizontal="center" vertical="center" wrapText="1"/>
    </xf>
    <xf numFmtId="165" fontId="38" fillId="4" borderId="2" xfId="1" applyNumberFormat="1" applyFont="1" applyFill="1" applyBorder="1" applyAlignment="1">
      <alignment vertical="center"/>
    </xf>
    <xf numFmtId="0" fontId="10" fillId="0" borderId="3"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2" xfId="10" applyFont="1" applyBorder="1" applyAlignment="1">
      <alignment horizontal="center" vertical="center"/>
    </xf>
    <xf numFmtId="0" fontId="26" fillId="0" borderId="2" xfId="10" applyFont="1" applyBorder="1" applyAlignment="1">
      <alignment horizontal="left" vertical="center" wrapText="1"/>
    </xf>
    <xf numFmtId="0" fontId="5" fillId="0" borderId="2" xfId="10" applyFont="1" applyBorder="1" applyAlignment="1">
      <alignment horizontal="left" vertical="center" wrapText="1"/>
    </xf>
    <xf numFmtId="3" fontId="10" fillId="0" borderId="2" xfId="10" applyNumberFormat="1" applyFont="1" applyBorder="1" applyAlignment="1">
      <alignment horizontal="center" vertical="center" wrapText="1"/>
    </xf>
    <xf numFmtId="2" fontId="10" fillId="0" borderId="2" xfId="11" applyNumberFormat="1" applyFont="1" applyFill="1" applyBorder="1" applyAlignment="1">
      <alignment horizontal="center" vertical="center"/>
    </xf>
    <xf numFmtId="3" fontId="10" fillId="0" borderId="2" xfId="10" applyNumberFormat="1" applyFont="1" applyBorder="1" applyAlignment="1">
      <alignment horizontal="center" vertical="center"/>
    </xf>
    <xf numFmtId="0" fontId="19" fillId="0" borderId="2" xfId="10" applyFont="1" applyBorder="1" applyAlignment="1">
      <alignment horizontal="center" vertical="center" wrapText="1"/>
    </xf>
    <xf numFmtId="0" fontId="13" fillId="0" borderId="2" xfId="10" applyFont="1" applyBorder="1" applyAlignment="1">
      <alignment horizontal="left" vertical="center" wrapText="1"/>
    </xf>
    <xf numFmtId="0" fontId="10" fillId="2" borderId="2" xfId="0" applyFont="1" applyFill="1" applyBorder="1" applyAlignment="1">
      <alignment horizontal="center" vertical="center"/>
    </xf>
    <xf numFmtId="0" fontId="25" fillId="2" borderId="2" xfId="0" applyFont="1" applyFill="1" applyBorder="1" applyAlignment="1">
      <alignment horizontal="right" vertical="center" wrapText="1"/>
    </xf>
    <xf numFmtId="0" fontId="5" fillId="2" borderId="2" xfId="0" quotePrefix="1" applyFont="1" applyFill="1" applyBorder="1" applyAlignment="1">
      <alignment vertical="center" wrapText="1"/>
    </xf>
    <xf numFmtId="0" fontId="10" fillId="0" borderId="4" xfId="0" applyFont="1" applyBorder="1" applyAlignment="1">
      <alignment horizontal="center" vertical="center"/>
    </xf>
    <xf numFmtId="0" fontId="21" fillId="2" borderId="3" xfId="0" applyFont="1" applyFill="1" applyBorder="1" applyAlignment="1">
      <alignment vertical="center" wrapText="1"/>
    </xf>
  </cellXfs>
  <cellStyles count="12">
    <cellStyle name="Comma" xfId="1" builtinId="3"/>
    <cellStyle name="Comma 2" xfId="7" xr:uid="{00000000-0005-0000-0000-000001000000}"/>
    <cellStyle name="Comma 3" xfId="5" xr:uid="{00000000-0005-0000-0000-000002000000}"/>
    <cellStyle name="Comma 6" xfId="11" xr:uid="{6426CC17-4DC3-4332-9E5B-DC4426F56A4F}"/>
    <cellStyle name="Normal" xfId="0" builtinId="0"/>
    <cellStyle name="Normal 2" xfId="3" xr:uid="{00000000-0005-0000-0000-000004000000}"/>
    <cellStyle name="Normal 2 2" xfId="8" xr:uid="{00000000-0005-0000-0000-000005000000}"/>
    <cellStyle name="Normal 2 5" xfId="10" xr:uid="{E0518B4D-CF23-4199-8781-4B89DCC0CF72}"/>
    <cellStyle name="Normal 3" xfId="4" xr:uid="{00000000-0005-0000-0000-000006000000}"/>
    <cellStyle name="Normal 4" xfId="2" xr:uid="{00000000-0005-0000-0000-000007000000}"/>
    <cellStyle name="Normal 5" xfId="6" xr:uid="{00000000-0005-0000-0000-000008000000}"/>
    <cellStyle name="Percent" xfId="9" builtinId="5"/>
  </cellStyles>
  <dxfs count="0"/>
  <tableStyles count="0" defaultTableStyle="TableStyleMedium9" defaultPivotStyle="PivotStyleLight16"/>
  <colors>
    <mruColors>
      <color rgb="FFFFD5FF"/>
      <color rgb="FFFCDBFD"/>
      <color rgb="FF0058B0"/>
      <color rgb="FF00FFFF"/>
      <color rgb="FF66FFFF"/>
      <color rgb="FF3D77EB"/>
      <color rgb="FF4865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424</xdr:row>
      <xdr:rowOff>0</xdr:rowOff>
    </xdr:from>
    <xdr:to>
      <xdr:col>4</xdr:col>
      <xdr:colOff>304800</xdr:colOff>
      <xdr:row>424</xdr:row>
      <xdr:rowOff>304800</xdr:rowOff>
    </xdr:to>
    <xdr:sp macro="" textlink="">
      <xdr:nvSpPr>
        <xdr:cNvPr id="2" name="AutoShape 1024" descr="Tranh Tô Màu Con Thỏ Với Bó Hoa Cho Bé | Minh họa AI Tải xuống miễn phí -  Pikbest">
          <a:extLst>
            <a:ext uri="{FF2B5EF4-FFF2-40B4-BE49-F238E27FC236}">
              <a16:creationId xmlns:a16="http://schemas.microsoft.com/office/drawing/2014/main" id="{9DD7D466-DBEC-4EB5-88C2-59E466D43417}"/>
            </a:ext>
          </a:extLst>
        </xdr:cNvPr>
        <xdr:cNvSpPr>
          <a:spLocks noChangeAspect="1" noChangeArrowheads="1"/>
        </xdr:cNvSpPr>
      </xdr:nvSpPr>
      <xdr:spPr>
        <a:xfrm>
          <a:off x="7372350" y="257508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11</xdr:col>
      <xdr:colOff>178372</xdr:colOff>
      <xdr:row>2</xdr:row>
      <xdr:rowOff>215374</xdr:rowOff>
    </xdr:from>
    <xdr:to>
      <xdr:col>11</xdr:col>
      <xdr:colOff>3702489</xdr:colOff>
      <xdr:row>8</xdr:row>
      <xdr:rowOff>11499</xdr:rowOff>
    </xdr:to>
    <xdr:pic>
      <xdr:nvPicPr>
        <xdr:cNvPr id="3" name="Picture 2">
          <a:extLst>
            <a:ext uri="{FF2B5EF4-FFF2-40B4-BE49-F238E27FC236}">
              <a16:creationId xmlns:a16="http://schemas.microsoft.com/office/drawing/2014/main" id="{F1D8D616-D06C-4D43-B617-42846BF00B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938" t="10947"/>
        <a:stretch>
          <a:fillRect/>
        </a:stretch>
      </xdr:blipFill>
      <xdr:spPr>
        <a:xfrm>
          <a:off x="15282301" y="1045410"/>
          <a:ext cx="3524117" cy="21229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775607</xdr:colOff>
      <xdr:row>383</xdr:row>
      <xdr:rowOff>81642</xdr:rowOff>
    </xdr:from>
    <xdr:to>
      <xdr:col>2</xdr:col>
      <xdr:colOff>1831177</xdr:colOff>
      <xdr:row>383</xdr:row>
      <xdr:rowOff>1129393</xdr:rowOff>
    </xdr:to>
    <xdr:pic>
      <xdr:nvPicPr>
        <xdr:cNvPr id="71" name="Picture 70">
          <a:extLst>
            <a:ext uri="{FF2B5EF4-FFF2-40B4-BE49-F238E27FC236}">
              <a16:creationId xmlns:a16="http://schemas.microsoft.com/office/drawing/2014/main" id="{FDBB0C64-5468-9943-5AB7-333C625770D8}"/>
            </a:ext>
          </a:extLst>
        </xdr:cNvPr>
        <xdr:cNvPicPr>
          <a:picLocks noChangeAspect="1"/>
        </xdr:cNvPicPr>
      </xdr:nvPicPr>
      <xdr:blipFill>
        <a:blip xmlns:r="http://schemas.openxmlformats.org/officeDocument/2006/relationships" r:embed="rId2"/>
        <a:stretch>
          <a:fillRect/>
        </a:stretch>
      </xdr:blipFill>
      <xdr:spPr>
        <a:xfrm>
          <a:off x="4585607" y="247473106"/>
          <a:ext cx="1055570" cy="1047751"/>
        </a:xfrm>
        <a:prstGeom prst="rect">
          <a:avLst/>
        </a:prstGeom>
      </xdr:spPr>
    </xdr:pic>
    <xdr:clientData/>
  </xdr:twoCellAnchor>
  <xdr:twoCellAnchor>
    <xdr:from>
      <xdr:col>2</xdr:col>
      <xdr:colOff>816429</xdr:colOff>
      <xdr:row>383</xdr:row>
      <xdr:rowOff>1211036</xdr:rowOff>
    </xdr:from>
    <xdr:to>
      <xdr:col>2</xdr:col>
      <xdr:colOff>1816429</xdr:colOff>
      <xdr:row>383</xdr:row>
      <xdr:rowOff>1744369</xdr:rowOff>
    </xdr:to>
    <xdr:pic>
      <xdr:nvPicPr>
        <xdr:cNvPr id="72" name="Picture 71">
          <a:extLst>
            <a:ext uri="{FF2B5EF4-FFF2-40B4-BE49-F238E27FC236}">
              <a16:creationId xmlns:a16="http://schemas.microsoft.com/office/drawing/2014/main" id="{03D4E8F1-ED16-2959-521D-A18A6A271EE6}"/>
            </a:ext>
          </a:extLst>
        </xdr:cNvPr>
        <xdr:cNvPicPr>
          <a:picLocks noChangeAspect="1"/>
        </xdr:cNvPicPr>
      </xdr:nvPicPr>
      <xdr:blipFill>
        <a:blip xmlns:r="http://schemas.openxmlformats.org/officeDocument/2006/relationships" r:embed="rId3"/>
        <a:stretch>
          <a:fillRect/>
        </a:stretch>
      </xdr:blipFill>
      <xdr:spPr>
        <a:xfrm>
          <a:off x="4626429" y="248602500"/>
          <a:ext cx="1000000" cy="533333"/>
        </a:xfrm>
        <a:prstGeom prst="rect">
          <a:avLst/>
        </a:prstGeom>
      </xdr:spPr>
    </xdr:pic>
    <xdr:clientData/>
  </xdr:twoCellAnchor>
  <xdr:twoCellAnchor>
    <xdr:from>
      <xdr:col>2</xdr:col>
      <xdr:colOff>545899</xdr:colOff>
      <xdr:row>385</xdr:row>
      <xdr:rowOff>56044</xdr:rowOff>
    </xdr:from>
    <xdr:to>
      <xdr:col>2</xdr:col>
      <xdr:colOff>2204358</xdr:colOff>
      <xdr:row>385</xdr:row>
      <xdr:rowOff>1249259</xdr:rowOff>
    </xdr:to>
    <xdr:pic>
      <xdr:nvPicPr>
        <xdr:cNvPr id="91" name="Picture 90">
          <a:extLst>
            <a:ext uri="{FF2B5EF4-FFF2-40B4-BE49-F238E27FC236}">
              <a16:creationId xmlns:a16="http://schemas.microsoft.com/office/drawing/2014/main" id="{BFE23902-3D01-47E0-9A29-D12C4CD64291}"/>
            </a:ext>
          </a:extLst>
        </xdr:cNvPr>
        <xdr:cNvPicPr>
          <a:picLocks noChangeAspect="1"/>
        </xdr:cNvPicPr>
      </xdr:nvPicPr>
      <xdr:blipFill>
        <a:blip xmlns:r="http://schemas.openxmlformats.org/officeDocument/2006/relationships" r:embed="rId4"/>
        <a:stretch>
          <a:fillRect/>
        </a:stretch>
      </xdr:blipFill>
      <xdr:spPr>
        <a:xfrm>
          <a:off x="4464756" y="304447830"/>
          <a:ext cx="1658459" cy="1193215"/>
        </a:xfrm>
        <a:prstGeom prst="rect">
          <a:avLst/>
        </a:prstGeom>
      </xdr:spPr>
    </xdr:pic>
    <xdr:clientData/>
  </xdr:twoCellAnchor>
  <xdr:twoCellAnchor>
    <xdr:from>
      <xdr:col>2</xdr:col>
      <xdr:colOff>407293</xdr:colOff>
      <xdr:row>385</xdr:row>
      <xdr:rowOff>1317356</xdr:rowOff>
    </xdr:from>
    <xdr:to>
      <xdr:col>2</xdr:col>
      <xdr:colOff>2394209</xdr:colOff>
      <xdr:row>385</xdr:row>
      <xdr:rowOff>1768928</xdr:rowOff>
    </xdr:to>
    <xdr:pic>
      <xdr:nvPicPr>
        <xdr:cNvPr id="119" name="Picture 118">
          <a:extLst>
            <a:ext uri="{FF2B5EF4-FFF2-40B4-BE49-F238E27FC236}">
              <a16:creationId xmlns:a16="http://schemas.microsoft.com/office/drawing/2014/main" id="{BD51B692-15A0-4271-9C26-8ECB5EF0F76A}"/>
            </a:ext>
          </a:extLst>
        </xdr:cNvPr>
        <xdr:cNvPicPr>
          <a:picLocks noChangeAspect="1"/>
        </xdr:cNvPicPr>
      </xdr:nvPicPr>
      <xdr:blipFill>
        <a:blip xmlns:r="http://schemas.openxmlformats.org/officeDocument/2006/relationships" r:embed="rId5"/>
        <a:stretch>
          <a:fillRect/>
        </a:stretch>
      </xdr:blipFill>
      <xdr:spPr>
        <a:xfrm>
          <a:off x="4326150" y="305709142"/>
          <a:ext cx="1986916" cy="451572"/>
        </a:xfrm>
        <a:prstGeom prst="rect">
          <a:avLst/>
        </a:prstGeom>
      </xdr:spPr>
    </xdr:pic>
    <xdr:clientData/>
  </xdr:twoCellAnchor>
  <xdr:twoCellAnchor>
    <xdr:from>
      <xdr:col>2</xdr:col>
      <xdr:colOff>532753</xdr:colOff>
      <xdr:row>384</xdr:row>
      <xdr:rowOff>129153</xdr:rowOff>
    </xdr:from>
    <xdr:to>
      <xdr:col>2</xdr:col>
      <xdr:colOff>2131016</xdr:colOff>
      <xdr:row>384</xdr:row>
      <xdr:rowOff>1739255</xdr:rowOff>
    </xdr:to>
    <xdr:pic>
      <xdr:nvPicPr>
        <xdr:cNvPr id="126" name="Picture 125">
          <a:extLst>
            <a:ext uri="{FF2B5EF4-FFF2-40B4-BE49-F238E27FC236}">
              <a16:creationId xmlns:a16="http://schemas.microsoft.com/office/drawing/2014/main" id="{D5CF3559-24FA-40DB-9069-D695B52E6A8E}"/>
            </a:ext>
          </a:extLst>
        </xdr:cNvPr>
        <xdr:cNvPicPr>
          <a:picLocks noChangeAspect="1"/>
        </xdr:cNvPicPr>
      </xdr:nvPicPr>
      <xdr:blipFill>
        <a:blip xmlns:r="http://schemas.openxmlformats.org/officeDocument/2006/relationships" r:embed="rId6"/>
        <a:stretch>
          <a:fillRect/>
        </a:stretch>
      </xdr:blipFill>
      <xdr:spPr>
        <a:xfrm>
          <a:off x="6514453" y="102303828"/>
          <a:ext cx="1598263" cy="1610102"/>
        </a:xfrm>
        <a:prstGeom prst="rect">
          <a:avLst/>
        </a:prstGeom>
      </xdr:spPr>
    </xdr:pic>
    <xdr:clientData/>
  </xdr:twoCellAnchor>
  <xdr:twoCellAnchor editAs="oneCell">
    <xdr:from>
      <xdr:col>2</xdr:col>
      <xdr:colOff>818503</xdr:colOff>
      <xdr:row>384</xdr:row>
      <xdr:rowOff>1829353</xdr:rowOff>
    </xdr:from>
    <xdr:to>
      <xdr:col>2</xdr:col>
      <xdr:colOff>1932214</xdr:colOff>
      <xdr:row>384</xdr:row>
      <xdr:rowOff>2467446</xdr:rowOff>
    </xdr:to>
    <xdr:pic>
      <xdr:nvPicPr>
        <xdr:cNvPr id="127" name="Picture 126">
          <a:extLst>
            <a:ext uri="{FF2B5EF4-FFF2-40B4-BE49-F238E27FC236}">
              <a16:creationId xmlns:a16="http://schemas.microsoft.com/office/drawing/2014/main" id="{68775E93-ADBF-4BB6-9852-24362018128D}"/>
            </a:ext>
          </a:extLst>
        </xdr:cNvPr>
        <xdr:cNvPicPr>
          <a:picLocks noChangeAspect="1"/>
        </xdr:cNvPicPr>
      </xdr:nvPicPr>
      <xdr:blipFill>
        <a:blip xmlns:r="http://schemas.openxmlformats.org/officeDocument/2006/relationships" r:embed="rId7"/>
        <a:stretch>
          <a:fillRect/>
        </a:stretch>
      </xdr:blipFill>
      <xdr:spPr>
        <a:xfrm>
          <a:off x="4737360" y="305282246"/>
          <a:ext cx="1113711" cy="638093"/>
        </a:xfrm>
        <a:prstGeom prst="rect">
          <a:avLst/>
        </a:prstGeom>
      </xdr:spPr>
    </xdr:pic>
    <xdr:clientData/>
  </xdr:twoCellAnchor>
  <xdr:twoCellAnchor>
    <xdr:from>
      <xdr:col>2</xdr:col>
      <xdr:colOff>54428</xdr:colOff>
      <xdr:row>382</xdr:row>
      <xdr:rowOff>68036</xdr:rowOff>
    </xdr:from>
    <xdr:to>
      <xdr:col>2</xdr:col>
      <xdr:colOff>1460023</xdr:colOff>
      <xdr:row>382</xdr:row>
      <xdr:rowOff>1319893</xdr:rowOff>
    </xdr:to>
    <xdr:pic>
      <xdr:nvPicPr>
        <xdr:cNvPr id="128" name="Picture 127">
          <a:extLst>
            <a:ext uri="{FF2B5EF4-FFF2-40B4-BE49-F238E27FC236}">
              <a16:creationId xmlns:a16="http://schemas.microsoft.com/office/drawing/2014/main" id="{9B4A5040-1F6D-432C-AD6F-6506AE42B357}"/>
            </a:ext>
          </a:extLst>
        </xdr:cNvPr>
        <xdr:cNvPicPr>
          <a:picLocks noChangeAspect="1"/>
        </xdr:cNvPicPr>
      </xdr:nvPicPr>
      <xdr:blipFill>
        <a:blip xmlns:r="http://schemas.openxmlformats.org/officeDocument/2006/relationships" r:embed="rId8"/>
        <a:stretch>
          <a:fillRect/>
        </a:stretch>
      </xdr:blipFill>
      <xdr:spPr>
        <a:xfrm>
          <a:off x="3864428" y="198530936"/>
          <a:ext cx="1405595" cy="1251857"/>
        </a:xfrm>
        <a:prstGeom prst="rect">
          <a:avLst/>
        </a:prstGeom>
      </xdr:spPr>
    </xdr:pic>
    <xdr:clientData/>
  </xdr:twoCellAnchor>
  <xdr:twoCellAnchor>
    <xdr:from>
      <xdr:col>2</xdr:col>
      <xdr:colOff>1687285</xdr:colOff>
      <xdr:row>382</xdr:row>
      <xdr:rowOff>326572</xdr:rowOff>
    </xdr:from>
    <xdr:to>
      <xdr:col>2</xdr:col>
      <xdr:colOff>2477761</xdr:colOff>
      <xdr:row>382</xdr:row>
      <xdr:rowOff>1278953</xdr:rowOff>
    </xdr:to>
    <xdr:pic>
      <xdr:nvPicPr>
        <xdr:cNvPr id="129" name="Picture 128">
          <a:extLst>
            <a:ext uri="{FF2B5EF4-FFF2-40B4-BE49-F238E27FC236}">
              <a16:creationId xmlns:a16="http://schemas.microsoft.com/office/drawing/2014/main" id="{DB986E4F-27D4-4A93-8C59-670D02F7090B}"/>
            </a:ext>
          </a:extLst>
        </xdr:cNvPr>
        <xdr:cNvPicPr>
          <a:picLocks noChangeAspect="1"/>
        </xdr:cNvPicPr>
      </xdr:nvPicPr>
      <xdr:blipFill>
        <a:blip xmlns:r="http://schemas.openxmlformats.org/officeDocument/2006/relationships" r:embed="rId9"/>
        <a:stretch>
          <a:fillRect/>
        </a:stretch>
      </xdr:blipFill>
      <xdr:spPr>
        <a:xfrm>
          <a:off x="5497285" y="198789472"/>
          <a:ext cx="790476" cy="9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d.docs.live.net\C:\Users\3KuQuan\Desktop\XDLACO\V&#7852;T%20T&#431;\ncc\MaNHCUO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BETONGHUYHOANG_2017_77f08f55367b2f16465e8fc511e5deb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g"/>
      <sheetName val="anh Tương"/>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DC(2)"/>
      <sheetName val="STOP "/>
      <sheetName val="XEM NHANH"/>
      <sheetName val="TONGHOP17"/>
      <sheetName val="KHODOI"/>
      <sheetName val="HDON"/>
      <sheetName val="VIET HD"/>
      <sheetName val="BAN HANG"/>
      <sheetName val="BAN HANG (3)"/>
      <sheetName val="BBDC"/>
      <sheetName val="T.TOAN"/>
      <sheetName val="DTTT"/>
      <sheetName val="T1"/>
      <sheetName val="T2"/>
      <sheetName val="T3"/>
      <sheetName val="T4"/>
      <sheetName val="T5"/>
      <sheetName val="MV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a:solidFill>
            <a:srgbClr val="D7AD39"/>
          </a:solidFill>
        </a:ln>
      </a:spPr>
      <a:bodyPr vertOverflow="clip" horzOverflow="clip" rtlCol="0" anchor="t"/>
      <a:lstStyle>
        <a:defPPr algn="l">
          <a:defRPr sz="1100"/>
        </a:defPPr>
      </a:lstStyle>
      <a:style>
        <a:lnRef idx="2">
          <a:schemeClr val="accent6"/>
        </a:lnRef>
        <a:fillRef idx="1">
          <a:schemeClr val="lt1"/>
        </a:fillRef>
        <a:effectRef idx="0">
          <a:schemeClr val="accent6"/>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26"/>
  <sheetViews>
    <sheetView tabSelected="1" zoomScale="70" zoomScaleNormal="70" workbookViewId="0">
      <selection activeCell="K21" sqref="K21"/>
    </sheetView>
  </sheetViews>
  <sheetFormatPr defaultColWidth="8.85546875" defaultRowHeight="30.75" outlineLevelRow="2"/>
  <cols>
    <col min="1" max="1" width="9.7109375" style="5" customWidth="1"/>
    <col min="2" max="2" width="49" style="6" customWidth="1"/>
    <col min="3" max="3" width="39.140625" style="6" customWidth="1"/>
    <col min="4" max="4" width="14.28515625" style="6" customWidth="1"/>
    <col min="5" max="6" width="12.85546875" style="6" customWidth="1"/>
    <col min="7" max="7" width="12.7109375" style="6" customWidth="1"/>
    <col min="8" max="8" width="12.7109375" style="7" customWidth="1"/>
    <col min="9" max="9" width="12.7109375" style="8" customWidth="1"/>
    <col min="10" max="10" width="24" style="9" customWidth="1"/>
    <col min="11" max="11" width="28.140625" style="10" customWidth="1"/>
    <col min="12" max="12" width="65.140625" style="6" customWidth="1"/>
    <col min="13" max="13" width="29.140625" style="103" customWidth="1"/>
    <col min="14" max="14" width="41.140625" style="6" customWidth="1"/>
    <col min="15" max="15" width="15.140625" style="6" customWidth="1"/>
    <col min="16" max="16" width="14" style="6" customWidth="1"/>
    <col min="17" max="255" width="8.85546875" style="6"/>
    <col min="256" max="256" width="8.140625" style="6" customWidth="1"/>
    <col min="257" max="257" width="50.5703125" style="6" customWidth="1"/>
    <col min="258" max="258" width="39.140625" style="6" customWidth="1"/>
    <col min="259" max="264" width="11.85546875" style="6" customWidth="1"/>
    <col min="265" max="265" width="24.85546875" style="6" customWidth="1"/>
    <col min="266" max="266" width="28.7109375" style="6" customWidth="1"/>
    <col min="267" max="267" width="58.7109375" style="6" customWidth="1"/>
    <col min="268" max="268" width="29.85546875" style="6" customWidth="1"/>
    <col min="269" max="269" width="19.5703125" style="6" customWidth="1"/>
    <col min="270" max="270" width="18.85546875" style="6" customWidth="1"/>
    <col min="271" max="511" width="8.85546875" style="6"/>
    <col min="512" max="512" width="8.140625" style="6" customWidth="1"/>
    <col min="513" max="513" width="50.5703125" style="6" customWidth="1"/>
    <col min="514" max="514" width="39.140625" style="6" customWidth="1"/>
    <col min="515" max="520" width="11.85546875" style="6" customWidth="1"/>
    <col min="521" max="521" width="24.85546875" style="6" customWidth="1"/>
    <col min="522" max="522" width="28.7109375" style="6" customWidth="1"/>
    <col min="523" max="523" width="58.7109375" style="6" customWidth="1"/>
    <col min="524" max="524" width="29.85546875" style="6" customWidth="1"/>
    <col min="525" max="525" width="19.5703125" style="6" customWidth="1"/>
    <col min="526" max="526" width="18.85546875" style="6" customWidth="1"/>
    <col min="527" max="767" width="8.85546875" style="6"/>
    <col min="768" max="768" width="8.140625" style="6" customWidth="1"/>
    <col min="769" max="769" width="50.5703125" style="6" customWidth="1"/>
    <col min="770" max="770" width="39.140625" style="6" customWidth="1"/>
    <col min="771" max="776" width="11.85546875" style="6" customWidth="1"/>
    <col min="777" max="777" width="24.85546875" style="6" customWidth="1"/>
    <col min="778" max="778" width="28.7109375" style="6" customWidth="1"/>
    <col min="779" max="779" width="58.7109375" style="6" customWidth="1"/>
    <col min="780" max="780" width="29.85546875" style="6" customWidth="1"/>
    <col min="781" max="781" width="19.5703125" style="6" customWidth="1"/>
    <col min="782" max="782" width="18.85546875" style="6" customWidth="1"/>
    <col min="783" max="1023" width="8.85546875" style="6"/>
    <col min="1024" max="1024" width="8.140625" style="6" customWidth="1"/>
    <col min="1025" max="1025" width="50.5703125" style="6" customWidth="1"/>
    <col min="1026" max="1026" width="39.140625" style="6" customWidth="1"/>
    <col min="1027" max="1032" width="11.85546875" style="6" customWidth="1"/>
    <col min="1033" max="1033" width="24.85546875" style="6" customWidth="1"/>
    <col min="1034" max="1034" width="28.7109375" style="6" customWidth="1"/>
    <col min="1035" max="1035" width="58.7109375" style="6" customWidth="1"/>
    <col min="1036" max="1036" width="29.85546875" style="6" customWidth="1"/>
    <col min="1037" max="1037" width="19.5703125" style="6" customWidth="1"/>
    <col min="1038" max="1038" width="18.85546875" style="6" customWidth="1"/>
    <col min="1039" max="1279" width="8.85546875" style="6"/>
    <col min="1280" max="1280" width="8.140625" style="6" customWidth="1"/>
    <col min="1281" max="1281" width="50.5703125" style="6" customWidth="1"/>
    <col min="1282" max="1282" width="39.140625" style="6" customWidth="1"/>
    <col min="1283" max="1288" width="11.85546875" style="6" customWidth="1"/>
    <col min="1289" max="1289" width="24.85546875" style="6" customWidth="1"/>
    <col min="1290" max="1290" width="28.7109375" style="6" customWidth="1"/>
    <col min="1291" max="1291" width="58.7109375" style="6" customWidth="1"/>
    <col min="1292" max="1292" width="29.85546875" style="6" customWidth="1"/>
    <col min="1293" max="1293" width="19.5703125" style="6" customWidth="1"/>
    <col min="1294" max="1294" width="18.85546875" style="6" customWidth="1"/>
    <col min="1295" max="1535" width="8.85546875" style="6"/>
    <col min="1536" max="1536" width="8.140625" style="6" customWidth="1"/>
    <col min="1537" max="1537" width="50.5703125" style="6" customWidth="1"/>
    <col min="1538" max="1538" width="39.140625" style="6" customWidth="1"/>
    <col min="1539" max="1544" width="11.85546875" style="6" customWidth="1"/>
    <col min="1545" max="1545" width="24.85546875" style="6" customWidth="1"/>
    <col min="1546" max="1546" width="28.7109375" style="6" customWidth="1"/>
    <col min="1547" max="1547" width="58.7109375" style="6" customWidth="1"/>
    <col min="1548" max="1548" width="29.85546875" style="6" customWidth="1"/>
    <col min="1549" max="1549" width="19.5703125" style="6" customWidth="1"/>
    <col min="1550" max="1550" width="18.85546875" style="6" customWidth="1"/>
    <col min="1551" max="1791" width="8.85546875" style="6"/>
    <col min="1792" max="1792" width="8.140625" style="6" customWidth="1"/>
    <col min="1793" max="1793" width="50.5703125" style="6" customWidth="1"/>
    <col min="1794" max="1794" width="39.140625" style="6" customWidth="1"/>
    <col min="1795" max="1800" width="11.85546875" style="6" customWidth="1"/>
    <col min="1801" max="1801" width="24.85546875" style="6" customWidth="1"/>
    <col min="1802" max="1802" width="28.7109375" style="6" customWidth="1"/>
    <col min="1803" max="1803" width="58.7109375" style="6" customWidth="1"/>
    <col min="1804" max="1804" width="29.85546875" style="6" customWidth="1"/>
    <col min="1805" max="1805" width="19.5703125" style="6" customWidth="1"/>
    <col min="1806" max="1806" width="18.85546875" style="6" customWidth="1"/>
    <col min="1807" max="2047" width="8.85546875" style="6"/>
    <col min="2048" max="2048" width="8.140625" style="6" customWidth="1"/>
    <col min="2049" max="2049" width="50.5703125" style="6" customWidth="1"/>
    <col min="2050" max="2050" width="39.140625" style="6" customWidth="1"/>
    <col min="2051" max="2056" width="11.85546875" style="6" customWidth="1"/>
    <col min="2057" max="2057" width="24.85546875" style="6" customWidth="1"/>
    <col min="2058" max="2058" width="28.7109375" style="6" customWidth="1"/>
    <col min="2059" max="2059" width="58.7109375" style="6" customWidth="1"/>
    <col min="2060" max="2060" width="29.85546875" style="6" customWidth="1"/>
    <col min="2061" max="2061" width="19.5703125" style="6" customWidth="1"/>
    <col min="2062" max="2062" width="18.85546875" style="6" customWidth="1"/>
    <col min="2063" max="2303" width="8.85546875" style="6"/>
    <col min="2304" max="2304" width="8.140625" style="6" customWidth="1"/>
    <col min="2305" max="2305" width="50.5703125" style="6" customWidth="1"/>
    <col min="2306" max="2306" width="39.140625" style="6" customWidth="1"/>
    <col min="2307" max="2312" width="11.85546875" style="6" customWidth="1"/>
    <col min="2313" max="2313" width="24.85546875" style="6" customWidth="1"/>
    <col min="2314" max="2314" width="28.7109375" style="6" customWidth="1"/>
    <col min="2315" max="2315" width="58.7109375" style="6" customWidth="1"/>
    <col min="2316" max="2316" width="29.85546875" style="6" customWidth="1"/>
    <col min="2317" max="2317" width="19.5703125" style="6" customWidth="1"/>
    <col min="2318" max="2318" width="18.85546875" style="6" customWidth="1"/>
    <col min="2319" max="2559" width="8.85546875" style="6"/>
    <col min="2560" max="2560" width="8.140625" style="6" customWidth="1"/>
    <col min="2561" max="2561" width="50.5703125" style="6" customWidth="1"/>
    <col min="2562" max="2562" width="39.140625" style="6" customWidth="1"/>
    <col min="2563" max="2568" width="11.85546875" style="6" customWidth="1"/>
    <col min="2569" max="2569" width="24.85546875" style="6" customWidth="1"/>
    <col min="2570" max="2570" width="28.7109375" style="6" customWidth="1"/>
    <col min="2571" max="2571" width="58.7109375" style="6" customWidth="1"/>
    <col min="2572" max="2572" width="29.85546875" style="6" customWidth="1"/>
    <col min="2573" max="2573" width="19.5703125" style="6" customWidth="1"/>
    <col min="2574" max="2574" width="18.85546875" style="6" customWidth="1"/>
    <col min="2575" max="2815" width="8.85546875" style="6"/>
    <col min="2816" max="2816" width="8.140625" style="6" customWidth="1"/>
    <col min="2817" max="2817" width="50.5703125" style="6" customWidth="1"/>
    <col min="2818" max="2818" width="39.140625" style="6" customWidth="1"/>
    <col min="2819" max="2824" width="11.85546875" style="6" customWidth="1"/>
    <col min="2825" max="2825" width="24.85546875" style="6" customWidth="1"/>
    <col min="2826" max="2826" width="28.7109375" style="6" customWidth="1"/>
    <col min="2827" max="2827" width="58.7109375" style="6" customWidth="1"/>
    <col min="2828" max="2828" width="29.85546875" style="6" customWidth="1"/>
    <col min="2829" max="2829" width="19.5703125" style="6" customWidth="1"/>
    <col min="2830" max="2830" width="18.85546875" style="6" customWidth="1"/>
    <col min="2831" max="3071" width="8.85546875" style="6"/>
    <col min="3072" max="3072" width="8.140625" style="6" customWidth="1"/>
    <col min="3073" max="3073" width="50.5703125" style="6" customWidth="1"/>
    <col min="3074" max="3074" width="39.140625" style="6" customWidth="1"/>
    <col min="3075" max="3080" width="11.85546875" style="6" customWidth="1"/>
    <col min="3081" max="3081" width="24.85546875" style="6" customWidth="1"/>
    <col min="3082" max="3082" width="28.7109375" style="6" customWidth="1"/>
    <col min="3083" max="3083" width="58.7109375" style="6" customWidth="1"/>
    <col min="3084" max="3084" width="29.85546875" style="6" customWidth="1"/>
    <col min="3085" max="3085" width="19.5703125" style="6" customWidth="1"/>
    <col min="3086" max="3086" width="18.85546875" style="6" customWidth="1"/>
    <col min="3087" max="3327" width="8.85546875" style="6"/>
    <col min="3328" max="3328" width="8.140625" style="6" customWidth="1"/>
    <col min="3329" max="3329" width="50.5703125" style="6" customWidth="1"/>
    <col min="3330" max="3330" width="39.140625" style="6" customWidth="1"/>
    <col min="3331" max="3336" width="11.85546875" style="6" customWidth="1"/>
    <col min="3337" max="3337" width="24.85546875" style="6" customWidth="1"/>
    <col min="3338" max="3338" width="28.7109375" style="6" customWidth="1"/>
    <col min="3339" max="3339" width="58.7109375" style="6" customWidth="1"/>
    <col min="3340" max="3340" width="29.85546875" style="6" customWidth="1"/>
    <col min="3341" max="3341" width="19.5703125" style="6" customWidth="1"/>
    <col min="3342" max="3342" width="18.85546875" style="6" customWidth="1"/>
    <col min="3343" max="3583" width="8.85546875" style="6"/>
    <col min="3584" max="3584" width="8.140625" style="6" customWidth="1"/>
    <col min="3585" max="3585" width="50.5703125" style="6" customWidth="1"/>
    <col min="3586" max="3586" width="39.140625" style="6" customWidth="1"/>
    <col min="3587" max="3592" width="11.85546875" style="6" customWidth="1"/>
    <col min="3593" max="3593" width="24.85546875" style="6" customWidth="1"/>
    <col min="3594" max="3594" width="28.7109375" style="6" customWidth="1"/>
    <col min="3595" max="3595" width="58.7109375" style="6" customWidth="1"/>
    <col min="3596" max="3596" width="29.85546875" style="6" customWidth="1"/>
    <col min="3597" max="3597" width="19.5703125" style="6" customWidth="1"/>
    <col min="3598" max="3598" width="18.85546875" style="6" customWidth="1"/>
    <col min="3599" max="3839" width="8.85546875" style="6"/>
    <col min="3840" max="3840" width="8.140625" style="6" customWidth="1"/>
    <col min="3841" max="3841" width="50.5703125" style="6" customWidth="1"/>
    <col min="3842" max="3842" width="39.140625" style="6" customWidth="1"/>
    <col min="3843" max="3848" width="11.85546875" style="6" customWidth="1"/>
    <col min="3849" max="3849" width="24.85546875" style="6" customWidth="1"/>
    <col min="3850" max="3850" width="28.7109375" style="6" customWidth="1"/>
    <col min="3851" max="3851" width="58.7109375" style="6" customWidth="1"/>
    <col min="3852" max="3852" width="29.85546875" style="6" customWidth="1"/>
    <col min="3853" max="3853" width="19.5703125" style="6" customWidth="1"/>
    <col min="3854" max="3854" width="18.85546875" style="6" customWidth="1"/>
    <col min="3855" max="4095" width="8.85546875" style="6"/>
    <col min="4096" max="4096" width="8.140625" style="6" customWidth="1"/>
    <col min="4097" max="4097" width="50.5703125" style="6" customWidth="1"/>
    <col min="4098" max="4098" width="39.140625" style="6" customWidth="1"/>
    <col min="4099" max="4104" width="11.85546875" style="6" customWidth="1"/>
    <col min="4105" max="4105" width="24.85546875" style="6" customWidth="1"/>
    <col min="4106" max="4106" width="28.7109375" style="6" customWidth="1"/>
    <col min="4107" max="4107" width="58.7109375" style="6" customWidth="1"/>
    <col min="4108" max="4108" width="29.85546875" style="6" customWidth="1"/>
    <col min="4109" max="4109" width="19.5703125" style="6" customWidth="1"/>
    <col min="4110" max="4110" width="18.85546875" style="6" customWidth="1"/>
    <col min="4111" max="4351" width="8.85546875" style="6"/>
    <col min="4352" max="4352" width="8.140625" style="6" customWidth="1"/>
    <col min="4353" max="4353" width="50.5703125" style="6" customWidth="1"/>
    <col min="4354" max="4354" width="39.140625" style="6" customWidth="1"/>
    <col min="4355" max="4360" width="11.85546875" style="6" customWidth="1"/>
    <col min="4361" max="4361" width="24.85546875" style="6" customWidth="1"/>
    <col min="4362" max="4362" width="28.7109375" style="6" customWidth="1"/>
    <col min="4363" max="4363" width="58.7109375" style="6" customWidth="1"/>
    <col min="4364" max="4364" width="29.85546875" style="6" customWidth="1"/>
    <col min="4365" max="4365" width="19.5703125" style="6" customWidth="1"/>
    <col min="4366" max="4366" width="18.85546875" style="6" customWidth="1"/>
    <col min="4367" max="4607" width="8.85546875" style="6"/>
    <col min="4608" max="4608" width="8.140625" style="6" customWidth="1"/>
    <col min="4609" max="4609" width="50.5703125" style="6" customWidth="1"/>
    <col min="4610" max="4610" width="39.140625" style="6" customWidth="1"/>
    <col min="4611" max="4616" width="11.85546875" style="6" customWidth="1"/>
    <col min="4617" max="4617" width="24.85546875" style="6" customWidth="1"/>
    <col min="4618" max="4618" width="28.7109375" style="6" customWidth="1"/>
    <col min="4619" max="4619" width="58.7109375" style="6" customWidth="1"/>
    <col min="4620" max="4620" width="29.85546875" style="6" customWidth="1"/>
    <col min="4621" max="4621" width="19.5703125" style="6" customWidth="1"/>
    <col min="4622" max="4622" width="18.85546875" style="6" customWidth="1"/>
    <col min="4623" max="4863" width="8.85546875" style="6"/>
    <col min="4864" max="4864" width="8.140625" style="6" customWidth="1"/>
    <col min="4865" max="4865" width="50.5703125" style="6" customWidth="1"/>
    <col min="4866" max="4866" width="39.140625" style="6" customWidth="1"/>
    <col min="4867" max="4872" width="11.85546875" style="6" customWidth="1"/>
    <col min="4873" max="4873" width="24.85546875" style="6" customWidth="1"/>
    <col min="4874" max="4874" width="28.7109375" style="6" customWidth="1"/>
    <col min="4875" max="4875" width="58.7109375" style="6" customWidth="1"/>
    <col min="4876" max="4876" width="29.85546875" style="6" customWidth="1"/>
    <col min="4877" max="4877" width="19.5703125" style="6" customWidth="1"/>
    <col min="4878" max="4878" width="18.85546875" style="6" customWidth="1"/>
    <col min="4879" max="5119" width="8.85546875" style="6"/>
    <col min="5120" max="5120" width="8.140625" style="6" customWidth="1"/>
    <col min="5121" max="5121" width="50.5703125" style="6" customWidth="1"/>
    <col min="5122" max="5122" width="39.140625" style="6" customWidth="1"/>
    <col min="5123" max="5128" width="11.85546875" style="6" customWidth="1"/>
    <col min="5129" max="5129" width="24.85546875" style="6" customWidth="1"/>
    <col min="5130" max="5130" width="28.7109375" style="6" customWidth="1"/>
    <col min="5131" max="5131" width="58.7109375" style="6" customWidth="1"/>
    <col min="5132" max="5132" width="29.85546875" style="6" customWidth="1"/>
    <col min="5133" max="5133" width="19.5703125" style="6" customWidth="1"/>
    <col min="5134" max="5134" width="18.85546875" style="6" customWidth="1"/>
    <col min="5135" max="5375" width="8.85546875" style="6"/>
    <col min="5376" max="5376" width="8.140625" style="6" customWidth="1"/>
    <col min="5377" max="5377" width="50.5703125" style="6" customWidth="1"/>
    <col min="5378" max="5378" width="39.140625" style="6" customWidth="1"/>
    <col min="5379" max="5384" width="11.85546875" style="6" customWidth="1"/>
    <col min="5385" max="5385" width="24.85546875" style="6" customWidth="1"/>
    <col min="5386" max="5386" width="28.7109375" style="6" customWidth="1"/>
    <col min="5387" max="5387" width="58.7109375" style="6" customWidth="1"/>
    <col min="5388" max="5388" width="29.85546875" style="6" customWidth="1"/>
    <col min="5389" max="5389" width="19.5703125" style="6" customWidth="1"/>
    <col min="5390" max="5390" width="18.85546875" style="6" customWidth="1"/>
    <col min="5391" max="5631" width="8.85546875" style="6"/>
    <col min="5632" max="5632" width="8.140625" style="6" customWidth="1"/>
    <col min="5633" max="5633" width="50.5703125" style="6" customWidth="1"/>
    <col min="5634" max="5634" width="39.140625" style="6" customWidth="1"/>
    <col min="5635" max="5640" width="11.85546875" style="6" customWidth="1"/>
    <col min="5641" max="5641" width="24.85546875" style="6" customWidth="1"/>
    <col min="5642" max="5642" width="28.7109375" style="6" customWidth="1"/>
    <col min="5643" max="5643" width="58.7109375" style="6" customWidth="1"/>
    <col min="5644" max="5644" width="29.85546875" style="6" customWidth="1"/>
    <col min="5645" max="5645" width="19.5703125" style="6" customWidth="1"/>
    <col min="5646" max="5646" width="18.85546875" style="6" customWidth="1"/>
    <col min="5647" max="5887" width="8.85546875" style="6"/>
    <col min="5888" max="5888" width="8.140625" style="6" customWidth="1"/>
    <col min="5889" max="5889" width="50.5703125" style="6" customWidth="1"/>
    <col min="5890" max="5890" width="39.140625" style="6" customWidth="1"/>
    <col min="5891" max="5896" width="11.85546875" style="6" customWidth="1"/>
    <col min="5897" max="5897" width="24.85546875" style="6" customWidth="1"/>
    <col min="5898" max="5898" width="28.7109375" style="6" customWidth="1"/>
    <col min="5899" max="5899" width="58.7109375" style="6" customWidth="1"/>
    <col min="5900" max="5900" width="29.85546875" style="6" customWidth="1"/>
    <col min="5901" max="5901" width="19.5703125" style="6" customWidth="1"/>
    <col min="5902" max="5902" width="18.85546875" style="6" customWidth="1"/>
    <col min="5903" max="6143" width="8.85546875" style="6"/>
    <col min="6144" max="6144" width="8.140625" style="6" customWidth="1"/>
    <col min="6145" max="6145" width="50.5703125" style="6" customWidth="1"/>
    <col min="6146" max="6146" width="39.140625" style="6" customWidth="1"/>
    <col min="6147" max="6152" width="11.85546875" style="6" customWidth="1"/>
    <col min="6153" max="6153" width="24.85546875" style="6" customWidth="1"/>
    <col min="6154" max="6154" width="28.7109375" style="6" customWidth="1"/>
    <col min="6155" max="6155" width="58.7109375" style="6" customWidth="1"/>
    <col min="6156" max="6156" width="29.85546875" style="6" customWidth="1"/>
    <col min="6157" max="6157" width="19.5703125" style="6" customWidth="1"/>
    <col min="6158" max="6158" width="18.85546875" style="6" customWidth="1"/>
    <col min="6159" max="6399" width="8.85546875" style="6"/>
    <col min="6400" max="6400" width="8.140625" style="6" customWidth="1"/>
    <col min="6401" max="6401" width="50.5703125" style="6" customWidth="1"/>
    <col min="6402" max="6402" width="39.140625" style="6" customWidth="1"/>
    <col min="6403" max="6408" width="11.85546875" style="6" customWidth="1"/>
    <col min="6409" max="6409" width="24.85546875" style="6" customWidth="1"/>
    <col min="6410" max="6410" width="28.7109375" style="6" customWidth="1"/>
    <col min="6411" max="6411" width="58.7109375" style="6" customWidth="1"/>
    <col min="6412" max="6412" width="29.85546875" style="6" customWidth="1"/>
    <col min="6413" max="6413" width="19.5703125" style="6" customWidth="1"/>
    <col min="6414" max="6414" width="18.85546875" style="6" customWidth="1"/>
    <col min="6415" max="6655" width="8.85546875" style="6"/>
    <col min="6656" max="6656" width="8.140625" style="6" customWidth="1"/>
    <col min="6657" max="6657" width="50.5703125" style="6" customWidth="1"/>
    <col min="6658" max="6658" width="39.140625" style="6" customWidth="1"/>
    <col min="6659" max="6664" width="11.85546875" style="6" customWidth="1"/>
    <col min="6665" max="6665" width="24.85546875" style="6" customWidth="1"/>
    <col min="6666" max="6666" width="28.7109375" style="6" customWidth="1"/>
    <col min="6667" max="6667" width="58.7109375" style="6" customWidth="1"/>
    <col min="6668" max="6668" width="29.85546875" style="6" customWidth="1"/>
    <col min="6669" max="6669" width="19.5703125" style="6" customWidth="1"/>
    <col min="6670" max="6670" width="18.85546875" style="6" customWidth="1"/>
    <col min="6671" max="6911" width="8.85546875" style="6"/>
    <col min="6912" max="6912" width="8.140625" style="6" customWidth="1"/>
    <col min="6913" max="6913" width="50.5703125" style="6" customWidth="1"/>
    <col min="6914" max="6914" width="39.140625" style="6" customWidth="1"/>
    <col min="6915" max="6920" width="11.85546875" style="6" customWidth="1"/>
    <col min="6921" max="6921" width="24.85546875" style="6" customWidth="1"/>
    <col min="6922" max="6922" width="28.7109375" style="6" customWidth="1"/>
    <col min="6923" max="6923" width="58.7109375" style="6" customWidth="1"/>
    <col min="6924" max="6924" width="29.85546875" style="6" customWidth="1"/>
    <col min="6925" max="6925" width="19.5703125" style="6" customWidth="1"/>
    <col min="6926" max="6926" width="18.85546875" style="6" customWidth="1"/>
    <col min="6927" max="7167" width="8.85546875" style="6"/>
    <col min="7168" max="7168" width="8.140625" style="6" customWidth="1"/>
    <col min="7169" max="7169" width="50.5703125" style="6" customWidth="1"/>
    <col min="7170" max="7170" width="39.140625" style="6" customWidth="1"/>
    <col min="7171" max="7176" width="11.85546875" style="6" customWidth="1"/>
    <col min="7177" max="7177" width="24.85546875" style="6" customWidth="1"/>
    <col min="7178" max="7178" width="28.7109375" style="6" customWidth="1"/>
    <col min="7179" max="7179" width="58.7109375" style="6" customWidth="1"/>
    <col min="7180" max="7180" width="29.85546875" style="6" customWidth="1"/>
    <col min="7181" max="7181" width="19.5703125" style="6" customWidth="1"/>
    <col min="7182" max="7182" width="18.85546875" style="6" customWidth="1"/>
    <col min="7183" max="7423" width="8.85546875" style="6"/>
    <col min="7424" max="7424" width="8.140625" style="6" customWidth="1"/>
    <col min="7425" max="7425" width="50.5703125" style="6" customWidth="1"/>
    <col min="7426" max="7426" width="39.140625" style="6" customWidth="1"/>
    <col min="7427" max="7432" width="11.85546875" style="6" customWidth="1"/>
    <col min="7433" max="7433" width="24.85546875" style="6" customWidth="1"/>
    <col min="7434" max="7434" width="28.7109375" style="6" customWidth="1"/>
    <col min="7435" max="7435" width="58.7109375" style="6" customWidth="1"/>
    <col min="7436" max="7436" width="29.85546875" style="6" customWidth="1"/>
    <col min="7437" max="7437" width="19.5703125" style="6" customWidth="1"/>
    <col min="7438" max="7438" width="18.85546875" style="6" customWidth="1"/>
    <col min="7439" max="7679" width="8.85546875" style="6"/>
    <col min="7680" max="7680" width="8.140625" style="6" customWidth="1"/>
    <col min="7681" max="7681" width="50.5703125" style="6" customWidth="1"/>
    <col min="7682" max="7682" width="39.140625" style="6" customWidth="1"/>
    <col min="7683" max="7688" width="11.85546875" style="6" customWidth="1"/>
    <col min="7689" max="7689" width="24.85546875" style="6" customWidth="1"/>
    <col min="7690" max="7690" width="28.7109375" style="6" customWidth="1"/>
    <col min="7691" max="7691" width="58.7109375" style="6" customWidth="1"/>
    <col min="7692" max="7692" width="29.85546875" style="6" customWidth="1"/>
    <col min="7693" max="7693" width="19.5703125" style="6" customWidth="1"/>
    <col min="7694" max="7694" width="18.85546875" style="6" customWidth="1"/>
    <col min="7695" max="7935" width="8.85546875" style="6"/>
    <col min="7936" max="7936" width="8.140625" style="6" customWidth="1"/>
    <col min="7937" max="7937" width="50.5703125" style="6" customWidth="1"/>
    <col min="7938" max="7938" width="39.140625" style="6" customWidth="1"/>
    <col min="7939" max="7944" width="11.85546875" style="6" customWidth="1"/>
    <col min="7945" max="7945" width="24.85546875" style="6" customWidth="1"/>
    <col min="7946" max="7946" width="28.7109375" style="6" customWidth="1"/>
    <col min="7947" max="7947" width="58.7109375" style="6" customWidth="1"/>
    <col min="7948" max="7948" width="29.85546875" style="6" customWidth="1"/>
    <col min="7949" max="7949" width="19.5703125" style="6" customWidth="1"/>
    <col min="7950" max="7950" width="18.85546875" style="6" customWidth="1"/>
    <col min="7951" max="8191" width="8.85546875" style="6"/>
    <col min="8192" max="8192" width="8.140625" style="6" customWidth="1"/>
    <col min="8193" max="8193" width="50.5703125" style="6" customWidth="1"/>
    <col min="8194" max="8194" width="39.140625" style="6" customWidth="1"/>
    <col min="8195" max="8200" width="11.85546875" style="6" customWidth="1"/>
    <col min="8201" max="8201" width="24.85546875" style="6" customWidth="1"/>
    <col min="8202" max="8202" width="28.7109375" style="6" customWidth="1"/>
    <col min="8203" max="8203" width="58.7109375" style="6" customWidth="1"/>
    <col min="8204" max="8204" width="29.85546875" style="6" customWidth="1"/>
    <col min="8205" max="8205" width="19.5703125" style="6" customWidth="1"/>
    <col min="8206" max="8206" width="18.85546875" style="6" customWidth="1"/>
    <col min="8207" max="8447" width="8.85546875" style="6"/>
    <col min="8448" max="8448" width="8.140625" style="6" customWidth="1"/>
    <col min="8449" max="8449" width="50.5703125" style="6" customWidth="1"/>
    <col min="8450" max="8450" width="39.140625" style="6" customWidth="1"/>
    <col min="8451" max="8456" width="11.85546875" style="6" customWidth="1"/>
    <col min="8457" max="8457" width="24.85546875" style="6" customWidth="1"/>
    <col min="8458" max="8458" width="28.7109375" style="6" customWidth="1"/>
    <col min="8459" max="8459" width="58.7109375" style="6" customWidth="1"/>
    <col min="8460" max="8460" width="29.85546875" style="6" customWidth="1"/>
    <col min="8461" max="8461" width="19.5703125" style="6" customWidth="1"/>
    <col min="8462" max="8462" width="18.85546875" style="6" customWidth="1"/>
    <col min="8463" max="8703" width="8.85546875" style="6"/>
    <col min="8704" max="8704" width="8.140625" style="6" customWidth="1"/>
    <col min="8705" max="8705" width="50.5703125" style="6" customWidth="1"/>
    <col min="8706" max="8706" width="39.140625" style="6" customWidth="1"/>
    <col min="8707" max="8712" width="11.85546875" style="6" customWidth="1"/>
    <col min="8713" max="8713" width="24.85546875" style="6" customWidth="1"/>
    <col min="8714" max="8714" width="28.7109375" style="6" customWidth="1"/>
    <col min="8715" max="8715" width="58.7109375" style="6" customWidth="1"/>
    <col min="8716" max="8716" width="29.85546875" style="6" customWidth="1"/>
    <col min="8717" max="8717" width="19.5703125" style="6" customWidth="1"/>
    <col min="8718" max="8718" width="18.85546875" style="6" customWidth="1"/>
    <col min="8719" max="8959" width="8.85546875" style="6"/>
    <col min="8960" max="8960" width="8.140625" style="6" customWidth="1"/>
    <col min="8961" max="8961" width="50.5703125" style="6" customWidth="1"/>
    <col min="8962" max="8962" width="39.140625" style="6" customWidth="1"/>
    <col min="8963" max="8968" width="11.85546875" style="6" customWidth="1"/>
    <col min="8969" max="8969" width="24.85546875" style="6" customWidth="1"/>
    <col min="8970" max="8970" width="28.7109375" style="6" customWidth="1"/>
    <col min="8971" max="8971" width="58.7109375" style="6" customWidth="1"/>
    <col min="8972" max="8972" width="29.85546875" style="6" customWidth="1"/>
    <col min="8973" max="8973" width="19.5703125" style="6" customWidth="1"/>
    <col min="8974" max="8974" width="18.85546875" style="6" customWidth="1"/>
    <col min="8975" max="9215" width="8.85546875" style="6"/>
    <col min="9216" max="9216" width="8.140625" style="6" customWidth="1"/>
    <col min="9217" max="9217" width="50.5703125" style="6" customWidth="1"/>
    <col min="9218" max="9218" width="39.140625" style="6" customWidth="1"/>
    <col min="9219" max="9224" width="11.85546875" style="6" customWidth="1"/>
    <col min="9225" max="9225" width="24.85546875" style="6" customWidth="1"/>
    <col min="9226" max="9226" width="28.7109375" style="6" customWidth="1"/>
    <col min="9227" max="9227" width="58.7109375" style="6" customWidth="1"/>
    <col min="9228" max="9228" width="29.85546875" style="6" customWidth="1"/>
    <col min="9229" max="9229" width="19.5703125" style="6" customWidth="1"/>
    <col min="9230" max="9230" width="18.85546875" style="6" customWidth="1"/>
    <col min="9231" max="9471" width="8.85546875" style="6"/>
    <col min="9472" max="9472" width="8.140625" style="6" customWidth="1"/>
    <col min="9473" max="9473" width="50.5703125" style="6" customWidth="1"/>
    <col min="9474" max="9474" width="39.140625" style="6" customWidth="1"/>
    <col min="9475" max="9480" width="11.85546875" style="6" customWidth="1"/>
    <col min="9481" max="9481" width="24.85546875" style="6" customWidth="1"/>
    <col min="9482" max="9482" width="28.7109375" style="6" customWidth="1"/>
    <col min="9483" max="9483" width="58.7109375" style="6" customWidth="1"/>
    <col min="9484" max="9484" width="29.85546875" style="6" customWidth="1"/>
    <col min="9485" max="9485" width="19.5703125" style="6" customWidth="1"/>
    <col min="9486" max="9486" width="18.85546875" style="6" customWidth="1"/>
    <col min="9487" max="9727" width="8.85546875" style="6"/>
    <col min="9728" max="9728" width="8.140625" style="6" customWidth="1"/>
    <col min="9729" max="9729" width="50.5703125" style="6" customWidth="1"/>
    <col min="9730" max="9730" width="39.140625" style="6" customWidth="1"/>
    <col min="9731" max="9736" width="11.85546875" style="6" customWidth="1"/>
    <col min="9737" max="9737" width="24.85546875" style="6" customWidth="1"/>
    <col min="9738" max="9738" width="28.7109375" style="6" customWidth="1"/>
    <col min="9739" max="9739" width="58.7109375" style="6" customWidth="1"/>
    <col min="9740" max="9740" width="29.85546875" style="6" customWidth="1"/>
    <col min="9741" max="9741" width="19.5703125" style="6" customWidth="1"/>
    <col min="9742" max="9742" width="18.85546875" style="6" customWidth="1"/>
    <col min="9743" max="9983" width="8.85546875" style="6"/>
    <col min="9984" max="9984" width="8.140625" style="6" customWidth="1"/>
    <col min="9985" max="9985" width="50.5703125" style="6" customWidth="1"/>
    <col min="9986" max="9986" width="39.140625" style="6" customWidth="1"/>
    <col min="9987" max="9992" width="11.85546875" style="6" customWidth="1"/>
    <col min="9993" max="9993" width="24.85546875" style="6" customWidth="1"/>
    <col min="9994" max="9994" width="28.7109375" style="6" customWidth="1"/>
    <col min="9995" max="9995" width="58.7109375" style="6" customWidth="1"/>
    <col min="9996" max="9996" width="29.85546875" style="6" customWidth="1"/>
    <col min="9997" max="9997" width="19.5703125" style="6" customWidth="1"/>
    <col min="9998" max="9998" width="18.85546875" style="6" customWidth="1"/>
    <col min="9999" max="10239" width="8.85546875" style="6"/>
    <col min="10240" max="10240" width="8.140625" style="6" customWidth="1"/>
    <col min="10241" max="10241" width="50.5703125" style="6" customWidth="1"/>
    <col min="10242" max="10242" width="39.140625" style="6" customWidth="1"/>
    <col min="10243" max="10248" width="11.85546875" style="6" customWidth="1"/>
    <col min="10249" max="10249" width="24.85546875" style="6" customWidth="1"/>
    <col min="10250" max="10250" width="28.7109375" style="6" customWidth="1"/>
    <col min="10251" max="10251" width="58.7109375" style="6" customWidth="1"/>
    <col min="10252" max="10252" width="29.85546875" style="6" customWidth="1"/>
    <col min="10253" max="10253" width="19.5703125" style="6" customWidth="1"/>
    <col min="10254" max="10254" width="18.85546875" style="6" customWidth="1"/>
    <col min="10255" max="10495" width="8.85546875" style="6"/>
    <col min="10496" max="10496" width="8.140625" style="6" customWidth="1"/>
    <col min="10497" max="10497" width="50.5703125" style="6" customWidth="1"/>
    <col min="10498" max="10498" width="39.140625" style="6" customWidth="1"/>
    <col min="10499" max="10504" width="11.85546875" style="6" customWidth="1"/>
    <col min="10505" max="10505" width="24.85546875" style="6" customWidth="1"/>
    <col min="10506" max="10506" width="28.7109375" style="6" customWidth="1"/>
    <col min="10507" max="10507" width="58.7109375" style="6" customWidth="1"/>
    <col min="10508" max="10508" width="29.85546875" style="6" customWidth="1"/>
    <col min="10509" max="10509" width="19.5703125" style="6" customWidth="1"/>
    <col min="10510" max="10510" width="18.85546875" style="6" customWidth="1"/>
    <col min="10511" max="10751" width="8.85546875" style="6"/>
    <col min="10752" max="10752" width="8.140625" style="6" customWidth="1"/>
    <col min="10753" max="10753" width="50.5703125" style="6" customWidth="1"/>
    <col min="10754" max="10754" width="39.140625" style="6" customWidth="1"/>
    <col min="10755" max="10760" width="11.85546875" style="6" customWidth="1"/>
    <col min="10761" max="10761" width="24.85546875" style="6" customWidth="1"/>
    <col min="10762" max="10762" width="28.7109375" style="6" customWidth="1"/>
    <col min="10763" max="10763" width="58.7109375" style="6" customWidth="1"/>
    <col min="10764" max="10764" width="29.85546875" style="6" customWidth="1"/>
    <col min="10765" max="10765" width="19.5703125" style="6" customWidth="1"/>
    <col min="10766" max="10766" width="18.85546875" style="6" customWidth="1"/>
    <col min="10767" max="11007" width="8.85546875" style="6"/>
    <col min="11008" max="11008" width="8.140625" style="6" customWidth="1"/>
    <col min="11009" max="11009" width="50.5703125" style="6" customWidth="1"/>
    <col min="11010" max="11010" width="39.140625" style="6" customWidth="1"/>
    <col min="11011" max="11016" width="11.85546875" style="6" customWidth="1"/>
    <col min="11017" max="11017" width="24.85546875" style="6" customWidth="1"/>
    <col min="11018" max="11018" width="28.7109375" style="6" customWidth="1"/>
    <col min="11019" max="11019" width="58.7109375" style="6" customWidth="1"/>
    <col min="11020" max="11020" width="29.85546875" style="6" customWidth="1"/>
    <col min="11021" max="11021" width="19.5703125" style="6" customWidth="1"/>
    <col min="11022" max="11022" width="18.85546875" style="6" customWidth="1"/>
    <col min="11023" max="11263" width="8.85546875" style="6"/>
    <col min="11264" max="11264" width="8.140625" style="6" customWidth="1"/>
    <col min="11265" max="11265" width="50.5703125" style="6" customWidth="1"/>
    <col min="11266" max="11266" width="39.140625" style="6" customWidth="1"/>
    <col min="11267" max="11272" width="11.85546875" style="6" customWidth="1"/>
    <col min="11273" max="11273" width="24.85546875" style="6" customWidth="1"/>
    <col min="11274" max="11274" width="28.7109375" style="6" customWidth="1"/>
    <col min="11275" max="11275" width="58.7109375" style="6" customWidth="1"/>
    <col min="11276" max="11276" width="29.85546875" style="6" customWidth="1"/>
    <col min="11277" max="11277" width="19.5703125" style="6" customWidth="1"/>
    <col min="11278" max="11278" width="18.85546875" style="6" customWidth="1"/>
    <col min="11279" max="11519" width="8.85546875" style="6"/>
    <col min="11520" max="11520" width="8.140625" style="6" customWidth="1"/>
    <col min="11521" max="11521" width="50.5703125" style="6" customWidth="1"/>
    <col min="11522" max="11522" width="39.140625" style="6" customWidth="1"/>
    <col min="11523" max="11528" width="11.85546875" style="6" customWidth="1"/>
    <col min="11529" max="11529" width="24.85546875" style="6" customWidth="1"/>
    <col min="11530" max="11530" width="28.7109375" style="6" customWidth="1"/>
    <col min="11531" max="11531" width="58.7109375" style="6" customWidth="1"/>
    <col min="11532" max="11532" width="29.85546875" style="6" customWidth="1"/>
    <col min="11533" max="11533" width="19.5703125" style="6" customWidth="1"/>
    <col min="11534" max="11534" width="18.85546875" style="6" customWidth="1"/>
    <col min="11535" max="11775" width="8.85546875" style="6"/>
    <col min="11776" max="11776" width="8.140625" style="6" customWidth="1"/>
    <col min="11777" max="11777" width="50.5703125" style="6" customWidth="1"/>
    <col min="11778" max="11778" width="39.140625" style="6" customWidth="1"/>
    <col min="11779" max="11784" width="11.85546875" style="6" customWidth="1"/>
    <col min="11785" max="11785" width="24.85546875" style="6" customWidth="1"/>
    <col min="11786" max="11786" width="28.7109375" style="6" customWidth="1"/>
    <col min="11787" max="11787" width="58.7109375" style="6" customWidth="1"/>
    <col min="11788" max="11788" width="29.85546875" style="6" customWidth="1"/>
    <col min="11789" max="11789" width="19.5703125" style="6" customWidth="1"/>
    <col min="11790" max="11790" width="18.85546875" style="6" customWidth="1"/>
    <col min="11791" max="12031" width="8.85546875" style="6"/>
    <col min="12032" max="12032" width="8.140625" style="6" customWidth="1"/>
    <col min="12033" max="12033" width="50.5703125" style="6" customWidth="1"/>
    <col min="12034" max="12034" width="39.140625" style="6" customWidth="1"/>
    <col min="12035" max="12040" width="11.85546875" style="6" customWidth="1"/>
    <col min="12041" max="12041" width="24.85546875" style="6" customWidth="1"/>
    <col min="12042" max="12042" width="28.7109375" style="6" customWidth="1"/>
    <col min="12043" max="12043" width="58.7109375" style="6" customWidth="1"/>
    <col min="12044" max="12044" width="29.85546875" style="6" customWidth="1"/>
    <col min="12045" max="12045" width="19.5703125" style="6" customWidth="1"/>
    <col min="12046" max="12046" width="18.85546875" style="6" customWidth="1"/>
    <col min="12047" max="12287" width="8.85546875" style="6"/>
    <col min="12288" max="12288" width="8.140625" style="6" customWidth="1"/>
    <col min="12289" max="12289" width="50.5703125" style="6" customWidth="1"/>
    <col min="12290" max="12290" width="39.140625" style="6" customWidth="1"/>
    <col min="12291" max="12296" width="11.85546875" style="6" customWidth="1"/>
    <col min="12297" max="12297" width="24.85546875" style="6" customWidth="1"/>
    <col min="12298" max="12298" width="28.7109375" style="6" customWidth="1"/>
    <col min="12299" max="12299" width="58.7109375" style="6" customWidth="1"/>
    <col min="12300" max="12300" width="29.85546875" style="6" customWidth="1"/>
    <col min="12301" max="12301" width="19.5703125" style="6" customWidth="1"/>
    <col min="12302" max="12302" width="18.85546875" style="6" customWidth="1"/>
    <col min="12303" max="12543" width="8.85546875" style="6"/>
    <col min="12544" max="12544" width="8.140625" style="6" customWidth="1"/>
    <col min="12545" max="12545" width="50.5703125" style="6" customWidth="1"/>
    <col min="12546" max="12546" width="39.140625" style="6" customWidth="1"/>
    <col min="12547" max="12552" width="11.85546875" style="6" customWidth="1"/>
    <col min="12553" max="12553" width="24.85546875" style="6" customWidth="1"/>
    <col min="12554" max="12554" width="28.7109375" style="6" customWidth="1"/>
    <col min="12555" max="12555" width="58.7109375" style="6" customWidth="1"/>
    <col min="12556" max="12556" width="29.85546875" style="6" customWidth="1"/>
    <col min="12557" max="12557" width="19.5703125" style="6" customWidth="1"/>
    <col min="12558" max="12558" width="18.85546875" style="6" customWidth="1"/>
    <col min="12559" max="12799" width="8.85546875" style="6"/>
    <col min="12800" max="12800" width="8.140625" style="6" customWidth="1"/>
    <col min="12801" max="12801" width="50.5703125" style="6" customWidth="1"/>
    <col min="12802" max="12802" width="39.140625" style="6" customWidth="1"/>
    <col min="12803" max="12808" width="11.85546875" style="6" customWidth="1"/>
    <col min="12809" max="12809" width="24.85546875" style="6" customWidth="1"/>
    <col min="12810" max="12810" width="28.7109375" style="6" customWidth="1"/>
    <col min="12811" max="12811" width="58.7109375" style="6" customWidth="1"/>
    <col min="12812" max="12812" width="29.85546875" style="6" customWidth="1"/>
    <col min="12813" max="12813" width="19.5703125" style="6" customWidth="1"/>
    <col min="12814" max="12814" width="18.85546875" style="6" customWidth="1"/>
    <col min="12815" max="13055" width="8.85546875" style="6"/>
    <col min="13056" max="13056" width="8.140625" style="6" customWidth="1"/>
    <col min="13057" max="13057" width="50.5703125" style="6" customWidth="1"/>
    <col min="13058" max="13058" width="39.140625" style="6" customWidth="1"/>
    <col min="13059" max="13064" width="11.85546875" style="6" customWidth="1"/>
    <col min="13065" max="13065" width="24.85546875" style="6" customWidth="1"/>
    <col min="13066" max="13066" width="28.7109375" style="6" customWidth="1"/>
    <col min="13067" max="13067" width="58.7109375" style="6" customWidth="1"/>
    <col min="13068" max="13068" width="29.85546875" style="6" customWidth="1"/>
    <col min="13069" max="13069" width="19.5703125" style="6" customWidth="1"/>
    <col min="13070" max="13070" width="18.85546875" style="6" customWidth="1"/>
    <col min="13071" max="13311" width="8.85546875" style="6"/>
    <col min="13312" max="13312" width="8.140625" style="6" customWidth="1"/>
    <col min="13313" max="13313" width="50.5703125" style="6" customWidth="1"/>
    <col min="13314" max="13314" width="39.140625" style="6" customWidth="1"/>
    <col min="13315" max="13320" width="11.85546875" style="6" customWidth="1"/>
    <col min="13321" max="13321" width="24.85546875" style="6" customWidth="1"/>
    <col min="13322" max="13322" width="28.7109375" style="6" customWidth="1"/>
    <col min="13323" max="13323" width="58.7109375" style="6" customWidth="1"/>
    <col min="13324" max="13324" width="29.85546875" style="6" customWidth="1"/>
    <col min="13325" max="13325" width="19.5703125" style="6" customWidth="1"/>
    <col min="13326" max="13326" width="18.85546875" style="6" customWidth="1"/>
    <col min="13327" max="13567" width="8.85546875" style="6"/>
    <col min="13568" max="13568" width="8.140625" style="6" customWidth="1"/>
    <col min="13569" max="13569" width="50.5703125" style="6" customWidth="1"/>
    <col min="13570" max="13570" width="39.140625" style="6" customWidth="1"/>
    <col min="13571" max="13576" width="11.85546875" style="6" customWidth="1"/>
    <col min="13577" max="13577" width="24.85546875" style="6" customWidth="1"/>
    <col min="13578" max="13578" width="28.7109375" style="6" customWidth="1"/>
    <col min="13579" max="13579" width="58.7109375" style="6" customWidth="1"/>
    <col min="13580" max="13580" width="29.85546875" style="6" customWidth="1"/>
    <col min="13581" max="13581" width="19.5703125" style="6" customWidth="1"/>
    <col min="13582" max="13582" width="18.85546875" style="6" customWidth="1"/>
    <col min="13583" max="13823" width="8.85546875" style="6"/>
    <col min="13824" max="13824" width="8.140625" style="6" customWidth="1"/>
    <col min="13825" max="13825" width="50.5703125" style="6" customWidth="1"/>
    <col min="13826" max="13826" width="39.140625" style="6" customWidth="1"/>
    <col min="13827" max="13832" width="11.85546875" style="6" customWidth="1"/>
    <col min="13833" max="13833" width="24.85546875" style="6" customWidth="1"/>
    <col min="13834" max="13834" width="28.7109375" style="6" customWidth="1"/>
    <col min="13835" max="13835" width="58.7109375" style="6" customWidth="1"/>
    <col min="13836" max="13836" width="29.85546875" style="6" customWidth="1"/>
    <col min="13837" max="13837" width="19.5703125" style="6" customWidth="1"/>
    <col min="13838" max="13838" width="18.85546875" style="6" customWidth="1"/>
    <col min="13839" max="14079" width="8.85546875" style="6"/>
    <col min="14080" max="14080" width="8.140625" style="6" customWidth="1"/>
    <col min="14081" max="14081" width="50.5703125" style="6" customWidth="1"/>
    <col min="14082" max="14082" width="39.140625" style="6" customWidth="1"/>
    <col min="14083" max="14088" width="11.85546875" style="6" customWidth="1"/>
    <col min="14089" max="14089" width="24.85546875" style="6" customWidth="1"/>
    <col min="14090" max="14090" width="28.7109375" style="6" customWidth="1"/>
    <col min="14091" max="14091" width="58.7109375" style="6" customWidth="1"/>
    <col min="14092" max="14092" width="29.85546875" style="6" customWidth="1"/>
    <col min="14093" max="14093" width="19.5703125" style="6" customWidth="1"/>
    <col min="14094" max="14094" width="18.85546875" style="6" customWidth="1"/>
    <col min="14095" max="14335" width="8.85546875" style="6"/>
    <col min="14336" max="14336" width="8.140625" style="6" customWidth="1"/>
    <col min="14337" max="14337" width="50.5703125" style="6" customWidth="1"/>
    <col min="14338" max="14338" width="39.140625" style="6" customWidth="1"/>
    <col min="14339" max="14344" width="11.85546875" style="6" customWidth="1"/>
    <col min="14345" max="14345" width="24.85546875" style="6" customWidth="1"/>
    <col min="14346" max="14346" width="28.7109375" style="6" customWidth="1"/>
    <col min="14347" max="14347" width="58.7109375" style="6" customWidth="1"/>
    <col min="14348" max="14348" width="29.85546875" style="6" customWidth="1"/>
    <col min="14349" max="14349" width="19.5703125" style="6" customWidth="1"/>
    <col min="14350" max="14350" width="18.85546875" style="6" customWidth="1"/>
    <col min="14351" max="14591" width="8.85546875" style="6"/>
    <col min="14592" max="14592" width="8.140625" style="6" customWidth="1"/>
    <col min="14593" max="14593" width="50.5703125" style="6" customWidth="1"/>
    <col min="14594" max="14594" width="39.140625" style="6" customWidth="1"/>
    <col min="14595" max="14600" width="11.85546875" style="6" customWidth="1"/>
    <col min="14601" max="14601" width="24.85546875" style="6" customWidth="1"/>
    <col min="14602" max="14602" width="28.7109375" style="6" customWidth="1"/>
    <col min="14603" max="14603" width="58.7109375" style="6" customWidth="1"/>
    <col min="14604" max="14604" width="29.85546875" style="6" customWidth="1"/>
    <col min="14605" max="14605" width="19.5703125" style="6" customWidth="1"/>
    <col min="14606" max="14606" width="18.85546875" style="6" customWidth="1"/>
    <col min="14607" max="14847" width="8.85546875" style="6"/>
    <col min="14848" max="14848" width="8.140625" style="6" customWidth="1"/>
    <col min="14849" max="14849" width="50.5703125" style="6" customWidth="1"/>
    <col min="14850" max="14850" width="39.140625" style="6" customWidth="1"/>
    <col min="14851" max="14856" width="11.85546875" style="6" customWidth="1"/>
    <col min="14857" max="14857" width="24.85546875" style="6" customWidth="1"/>
    <col min="14858" max="14858" width="28.7109375" style="6" customWidth="1"/>
    <col min="14859" max="14859" width="58.7109375" style="6" customWidth="1"/>
    <col min="14860" max="14860" width="29.85546875" style="6" customWidth="1"/>
    <col min="14861" max="14861" width="19.5703125" style="6" customWidth="1"/>
    <col min="14862" max="14862" width="18.85546875" style="6" customWidth="1"/>
    <col min="14863" max="15103" width="8.85546875" style="6"/>
    <col min="15104" max="15104" width="8.140625" style="6" customWidth="1"/>
    <col min="15105" max="15105" width="50.5703125" style="6" customWidth="1"/>
    <col min="15106" max="15106" width="39.140625" style="6" customWidth="1"/>
    <col min="15107" max="15112" width="11.85546875" style="6" customWidth="1"/>
    <col min="15113" max="15113" width="24.85546875" style="6" customWidth="1"/>
    <col min="15114" max="15114" width="28.7109375" style="6" customWidth="1"/>
    <col min="15115" max="15115" width="58.7109375" style="6" customWidth="1"/>
    <col min="15116" max="15116" width="29.85546875" style="6" customWidth="1"/>
    <col min="15117" max="15117" width="19.5703125" style="6" customWidth="1"/>
    <col min="15118" max="15118" width="18.85546875" style="6" customWidth="1"/>
    <col min="15119" max="15359" width="8.85546875" style="6"/>
    <col min="15360" max="15360" width="8.140625" style="6" customWidth="1"/>
    <col min="15361" max="15361" width="50.5703125" style="6" customWidth="1"/>
    <col min="15362" max="15362" width="39.140625" style="6" customWidth="1"/>
    <col min="15363" max="15368" width="11.85546875" style="6" customWidth="1"/>
    <col min="15369" max="15369" width="24.85546875" style="6" customWidth="1"/>
    <col min="15370" max="15370" width="28.7109375" style="6" customWidth="1"/>
    <col min="15371" max="15371" width="58.7109375" style="6" customWidth="1"/>
    <col min="15372" max="15372" width="29.85546875" style="6" customWidth="1"/>
    <col min="15373" max="15373" width="19.5703125" style="6" customWidth="1"/>
    <col min="15374" max="15374" width="18.85546875" style="6" customWidth="1"/>
    <col min="15375" max="15615" width="8.85546875" style="6"/>
    <col min="15616" max="15616" width="8.140625" style="6" customWidth="1"/>
    <col min="15617" max="15617" width="50.5703125" style="6" customWidth="1"/>
    <col min="15618" max="15618" width="39.140625" style="6" customWidth="1"/>
    <col min="15619" max="15624" width="11.85546875" style="6" customWidth="1"/>
    <col min="15625" max="15625" width="24.85546875" style="6" customWidth="1"/>
    <col min="15626" max="15626" width="28.7109375" style="6" customWidth="1"/>
    <col min="15627" max="15627" width="58.7109375" style="6" customWidth="1"/>
    <col min="15628" max="15628" width="29.85546875" style="6" customWidth="1"/>
    <col min="15629" max="15629" width="19.5703125" style="6" customWidth="1"/>
    <col min="15630" max="15630" width="18.85546875" style="6" customWidth="1"/>
    <col min="15631" max="15871" width="8.85546875" style="6"/>
    <col min="15872" max="15872" width="8.140625" style="6" customWidth="1"/>
    <col min="15873" max="15873" width="50.5703125" style="6" customWidth="1"/>
    <col min="15874" max="15874" width="39.140625" style="6" customWidth="1"/>
    <col min="15875" max="15880" width="11.85546875" style="6" customWidth="1"/>
    <col min="15881" max="15881" width="24.85546875" style="6" customWidth="1"/>
    <col min="15882" max="15882" width="28.7109375" style="6" customWidth="1"/>
    <col min="15883" max="15883" width="58.7109375" style="6" customWidth="1"/>
    <col min="15884" max="15884" width="29.85546875" style="6" customWidth="1"/>
    <col min="15885" max="15885" width="19.5703125" style="6" customWidth="1"/>
    <col min="15886" max="15886" width="18.85546875" style="6" customWidth="1"/>
    <col min="15887" max="16127" width="8.85546875" style="6"/>
    <col min="16128" max="16128" width="8.140625" style="6" customWidth="1"/>
    <col min="16129" max="16129" width="50.5703125" style="6" customWidth="1"/>
    <col min="16130" max="16130" width="39.140625" style="6" customWidth="1"/>
    <col min="16131" max="16136" width="11.85546875" style="6" customWidth="1"/>
    <col min="16137" max="16137" width="24.85546875" style="6" customWidth="1"/>
    <col min="16138" max="16138" width="28.7109375" style="6" customWidth="1"/>
    <col min="16139" max="16139" width="58.7109375" style="6" customWidth="1"/>
    <col min="16140" max="16140" width="29.85546875" style="6" customWidth="1"/>
    <col min="16141" max="16141" width="19.5703125" style="6" customWidth="1"/>
    <col min="16142" max="16142" width="18.85546875" style="6" customWidth="1"/>
    <col min="16143" max="16384" width="8.85546875" style="6"/>
  </cols>
  <sheetData>
    <row r="1" spans="1:15" ht="39" customHeight="1">
      <c r="A1" s="280" t="s">
        <v>0</v>
      </c>
      <c r="B1" s="280"/>
      <c r="C1" s="280"/>
      <c r="D1" s="280"/>
      <c r="E1" s="280"/>
      <c r="F1" s="280"/>
      <c r="G1" s="280"/>
      <c r="H1" s="280"/>
      <c r="I1" s="280"/>
      <c r="J1" s="280"/>
      <c r="K1" s="280"/>
      <c r="L1" s="280"/>
    </row>
    <row r="2" spans="1:15" s="97" customFormat="1" ht="27" customHeight="1">
      <c r="A2" s="96"/>
      <c r="B2" s="281" t="s">
        <v>272</v>
      </c>
      <c r="C2" s="281"/>
      <c r="D2" s="281"/>
      <c r="E2" s="281"/>
      <c r="F2" s="281"/>
      <c r="G2" s="281"/>
      <c r="H2" s="281"/>
      <c r="I2" s="281"/>
      <c r="J2" s="281"/>
      <c r="K2" s="281"/>
      <c r="L2" s="281"/>
      <c r="M2" s="103"/>
    </row>
    <row r="3" spans="1:15" s="97" customFormat="1" ht="27" customHeight="1">
      <c r="A3" s="96"/>
      <c r="B3" s="281" t="s">
        <v>82</v>
      </c>
      <c r="C3" s="281"/>
      <c r="D3" s="281"/>
      <c r="E3" s="281"/>
      <c r="F3" s="281"/>
      <c r="G3" s="281"/>
      <c r="H3" s="281"/>
      <c r="I3" s="281"/>
      <c r="J3" s="281"/>
      <c r="K3" s="281"/>
      <c r="L3" s="281"/>
      <c r="M3" s="103"/>
    </row>
    <row r="4" spans="1:15" s="97" customFormat="1" ht="27" customHeight="1">
      <c r="A4" s="98"/>
      <c r="B4" s="281" t="s">
        <v>1</v>
      </c>
      <c r="C4" s="281"/>
      <c r="D4" s="281"/>
      <c r="E4" s="281"/>
      <c r="F4" s="281"/>
      <c r="G4" s="281"/>
      <c r="H4" s="281"/>
      <c r="I4" s="281"/>
      <c r="J4" s="281"/>
      <c r="K4" s="281"/>
      <c r="L4" s="281"/>
      <c r="M4" s="103"/>
    </row>
    <row r="5" spans="1:15" s="97" customFormat="1" ht="27" customHeight="1">
      <c r="A5" s="98"/>
      <c r="B5" s="281" t="s">
        <v>2</v>
      </c>
      <c r="C5" s="281"/>
      <c r="D5" s="281"/>
      <c r="E5" s="281"/>
      <c r="F5" s="281"/>
      <c r="G5" s="281"/>
      <c r="H5" s="281"/>
      <c r="I5" s="281"/>
      <c r="J5" s="281"/>
      <c r="K5" s="281"/>
      <c r="L5" s="281"/>
      <c r="M5" s="103"/>
    </row>
    <row r="6" spans="1:15" s="97" customFormat="1" ht="27" customHeight="1">
      <c r="A6" s="98"/>
      <c r="B6" s="281" t="s">
        <v>3</v>
      </c>
      <c r="C6" s="281"/>
      <c r="D6" s="281"/>
      <c r="E6" s="281"/>
      <c r="F6" s="281"/>
      <c r="G6" s="281"/>
      <c r="H6" s="281"/>
      <c r="I6" s="281"/>
      <c r="J6" s="281"/>
      <c r="K6" s="281"/>
      <c r="L6" s="281"/>
      <c r="M6" s="103"/>
    </row>
    <row r="7" spans="1:15" s="97" customFormat="1" ht="27" customHeight="1">
      <c r="A7" s="98"/>
      <c r="B7" s="281" t="s">
        <v>273</v>
      </c>
      <c r="C7" s="281"/>
      <c r="D7" s="281"/>
      <c r="E7" s="281"/>
      <c r="F7" s="281"/>
      <c r="G7" s="281"/>
      <c r="H7" s="281"/>
      <c r="I7" s="281"/>
      <c r="J7" s="281"/>
      <c r="K7" s="281"/>
      <c r="L7" s="281"/>
      <c r="M7" s="103"/>
    </row>
    <row r="8" spans="1:15" ht="48.75" customHeight="1">
      <c r="A8" s="290" t="s">
        <v>103</v>
      </c>
      <c r="B8" s="290"/>
      <c r="C8" s="290"/>
      <c r="D8" s="290"/>
      <c r="E8" s="290"/>
      <c r="F8" s="290"/>
      <c r="G8" s="290"/>
      <c r="H8" s="290"/>
      <c r="I8" s="290"/>
      <c r="J8" s="290"/>
      <c r="K8" s="290"/>
      <c r="L8" s="290"/>
    </row>
    <row r="9" spans="1:15" s="1" customFormat="1" ht="54" customHeight="1">
      <c r="A9" s="291" t="s">
        <v>4</v>
      </c>
      <c r="B9" s="291"/>
      <c r="C9" s="291"/>
      <c r="D9" s="291"/>
      <c r="E9" s="291"/>
      <c r="F9" s="291"/>
      <c r="G9" s="291"/>
      <c r="H9" s="291"/>
      <c r="I9" s="291"/>
      <c r="J9" s="291"/>
      <c r="K9" s="291"/>
      <c r="L9" s="291"/>
      <c r="M9" s="104"/>
    </row>
    <row r="10" spans="1:15" s="120" customFormat="1" ht="24" customHeight="1">
      <c r="A10" s="284" t="s">
        <v>5</v>
      </c>
      <c r="B10" s="284" t="s">
        <v>6</v>
      </c>
      <c r="C10" s="293" t="s">
        <v>7</v>
      </c>
      <c r="D10" s="295" t="s">
        <v>8</v>
      </c>
      <c r="E10" s="292"/>
      <c r="F10" s="292"/>
      <c r="G10" s="284" t="s">
        <v>9</v>
      </c>
      <c r="H10" s="296" t="s">
        <v>10</v>
      </c>
      <c r="I10" s="295" t="s">
        <v>11</v>
      </c>
      <c r="J10" s="282" t="s">
        <v>12</v>
      </c>
      <c r="K10" s="282" t="s">
        <v>13</v>
      </c>
      <c r="L10" s="284" t="s">
        <v>14</v>
      </c>
      <c r="M10" s="119"/>
    </row>
    <row r="11" spans="1:15" s="120" customFormat="1" ht="24" customHeight="1">
      <c r="A11" s="285"/>
      <c r="B11" s="292"/>
      <c r="C11" s="294"/>
      <c r="D11" s="117" t="s">
        <v>15</v>
      </c>
      <c r="E11" s="117" t="s">
        <v>16</v>
      </c>
      <c r="F11" s="118" t="s">
        <v>17</v>
      </c>
      <c r="G11" s="292"/>
      <c r="H11" s="297"/>
      <c r="I11" s="292"/>
      <c r="J11" s="283"/>
      <c r="K11" s="283"/>
      <c r="L11" s="285"/>
      <c r="M11" s="119"/>
    </row>
    <row r="12" spans="1:15" s="2" customFormat="1" ht="59.25" customHeight="1">
      <c r="A12" s="287" t="s">
        <v>102</v>
      </c>
      <c r="B12" s="288"/>
      <c r="C12" s="288"/>
      <c r="D12" s="288"/>
      <c r="E12" s="288"/>
      <c r="F12" s="288"/>
      <c r="G12" s="288"/>
      <c r="H12" s="288"/>
      <c r="I12" s="288"/>
      <c r="J12" s="289"/>
      <c r="K12" s="94">
        <f>K13+K62</f>
        <v>0</v>
      </c>
      <c r="L12" s="18"/>
      <c r="M12" s="105"/>
    </row>
    <row r="13" spans="1:15" s="20" customFormat="1" ht="58.5" customHeight="1">
      <c r="A13" s="27" t="s">
        <v>18</v>
      </c>
      <c r="B13" s="277" t="s">
        <v>19</v>
      </c>
      <c r="C13" s="278"/>
      <c r="D13" s="278"/>
      <c r="E13" s="278"/>
      <c r="F13" s="278"/>
      <c r="G13" s="278"/>
      <c r="H13" s="278"/>
      <c r="I13" s="278"/>
      <c r="J13" s="279"/>
      <c r="K13" s="46">
        <f>SUM(K14:K55)</f>
        <v>0</v>
      </c>
      <c r="L13" s="85"/>
      <c r="M13" s="101"/>
      <c r="N13" s="47"/>
      <c r="O13" s="47"/>
    </row>
    <row r="14" spans="1:15" s="3" customFormat="1" ht="79.5" customHeight="1">
      <c r="A14" s="11">
        <v>1</v>
      </c>
      <c r="B14" s="84" t="s">
        <v>73</v>
      </c>
      <c r="C14" s="29"/>
      <c r="D14" s="30"/>
      <c r="E14" s="30"/>
      <c r="F14" s="30"/>
      <c r="G14" s="11" t="s">
        <v>21</v>
      </c>
      <c r="H14" s="31">
        <f>SUM(H15:H20)</f>
        <v>0</v>
      </c>
      <c r="I14" s="11">
        <v>1</v>
      </c>
      <c r="J14" s="19">
        <v>90000</v>
      </c>
      <c r="K14" s="53">
        <f t="shared" ref="K14" si="0">J14*I14*H14</f>
        <v>0</v>
      </c>
      <c r="L14" s="48"/>
      <c r="M14" s="102"/>
      <c r="N14" s="49"/>
      <c r="O14" s="49"/>
    </row>
    <row r="15" spans="1:15" s="21" customFormat="1" ht="42.75" hidden="1" customHeight="1" outlineLevel="1">
      <c r="A15" s="247"/>
      <c r="B15" s="29" t="s">
        <v>104</v>
      </c>
      <c r="C15" s="29"/>
      <c r="D15" s="30"/>
      <c r="E15" s="30"/>
      <c r="F15" s="30"/>
      <c r="G15" s="33" t="s">
        <v>21</v>
      </c>
      <c r="H15" s="34">
        <f>D15/1000*F15/1000</f>
        <v>0</v>
      </c>
      <c r="I15" s="33"/>
      <c r="J15" s="226"/>
      <c r="K15" s="226"/>
      <c r="L15" s="29"/>
      <c r="M15" s="102"/>
      <c r="N15" s="49"/>
      <c r="O15" s="49"/>
    </row>
    <row r="16" spans="1:15" s="21" customFormat="1" ht="42.75" hidden="1" customHeight="1" outlineLevel="1">
      <c r="A16" s="249"/>
      <c r="B16" s="29" t="s">
        <v>104</v>
      </c>
      <c r="C16" s="29"/>
      <c r="D16" s="30"/>
      <c r="E16" s="30"/>
      <c r="F16" s="30"/>
      <c r="G16" s="33" t="s">
        <v>21</v>
      </c>
      <c r="H16" s="34">
        <f>D16/1000*F16/1000</f>
        <v>0</v>
      </c>
      <c r="I16" s="33"/>
      <c r="J16" s="226"/>
      <c r="K16" s="226"/>
      <c r="L16" s="29"/>
      <c r="M16" s="102"/>
      <c r="N16" s="49"/>
      <c r="O16" s="49"/>
    </row>
    <row r="17" spans="1:15" s="21" customFormat="1" ht="42.75" hidden="1" customHeight="1" outlineLevel="1">
      <c r="A17" s="249"/>
      <c r="B17" s="309" t="s">
        <v>293</v>
      </c>
      <c r="C17" s="29"/>
      <c r="D17" s="86"/>
      <c r="E17" s="86"/>
      <c r="F17" s="86"/>
      <c r="G17" s="88" t="s">
        <v>21</v>
      </c>
      <c r="H17" s="87">
        <f>-D17/1000*F17/1000</f>
        <v>0</v>
      </c>
      <c r="I17" s="33"/>
      <c r="J17" s="226"/>
      <c r="K17" s="226"/>
      <c r="L17" s="29" t="s">
        <v>121</v>
      </c>
      <c r="M17" s="102"/>
      <c r="N17" s="49"/>
      <c r="O17" s="49"/>
    </row>
    <row r="18" spans="1:15" s="122" customFormat="1" ht="42.75" hidden="1" customHeight="1" outlineLevel="1">
      <c r="A18" s="249"/>
      <c r="B18" s="29" t="s">
        <v>105</v>
      </c>
      <c r="C18" s="29"/>
      <c r="D18" s="30"/>
      <c r="E18" s="86"/>
      <c r="F18" s="30"/>
      <c r="G18" s="33" t="s">
        <v>21</v>
      </c>
      <c r="H18" s="34">
        <f>D18/1000*F18/1000</f>
        <v>0</v>
      </c>
      <c r="I18" s="88"/>
      <c r="J18" s="226"/>
      <c r="K18" s="226"/>
      <c r="L18" s="121"/>
      <c r="M18" s="123"/>
      <c r="N18" s="123"/>
      <c r="O18" s="123"/>
    </row>
    <row r="19" spans="1:15" s="122" customFormat="1" ht="42.75" hidden="1" customHeight="1" outlineLevel="1">
      <c r="A19" s="249"/>
      <c r="B19" s="29" t="s">
        <v>105</v>
      </c>
      <c r="C19" s="29"/>
      <c r="D19" s="30"/>
      <c r="E19" s="86"/>
      <c r="F19" s="30"/>
      <c r="G19" s="33" t="s">
        <v>21</v>
      </c>
      <c r="H19" s="34">
        <f t="shared" ref="H19" si="1">D19/1000*F19/1000</f>
        <v>0</v>
      </c>
      <c r="I19" s="88"/>
      <c r="J19" s="226"/>
      <c r="K19" s="226"/>
      <c r="L19" s="121"/>
      <c r="M19" s="123"/>
      <c r="N19" s="123"/>
      <c r="O19" s="123"/>
    </row>
    <row r="20" spans="1:15" s="122" customFormat="1" ht="42.75" hidden="1" customHeight="1" outlineLevel="1">
      <c r="A20" s="248"/>
      <c r="B20" s="309" t="s">
        <v>293</v>
      </c>
      <c r="C20" s="29"/>
      <c r="D20" s="86"/>
      <c r="E20" s="86"/>
      <c r="F20" s="86"/>
      <c r="G20" s="88" t="s">
        <v>21</v>
      </c>
      <c r="H20" s="87">
        <f>-D20/1000*F20/1000</f>
        <v>0</v>
      </c>
      <c r="I20" s="88"/>
      <c r="J20" s="226"/>
      <c r="K20" s="226"/>
      <c r="L20" s="121"/>
      <c r="M20" s="123"/>
      <c r="N20" s="123"/>
      <c r="O20" s="123"/>
    </row>
    <row r="21" spans="1:15" s="21" customFormat="1" ht="79.5" customHeight="1" collapsed="1">
      <c r="A21" s="11">
        <v>2</v>
      </c>
      <c r="B21" s="310" t="s">
        <v>75</v>
      </c>
      <c r="C21" s="29"/>
      <c r="D21" s="30"/>
      <c r="E21" s="30"/>
      <c r="F21" s="30"/>
      <c r="G21" s="11" t="s">
        <v>21</v>
      </c>
      <c r="H21" s="31">
        <f>SUM(H22:H25)</f>
        <v>0</v>
      </c>
      <c r="I21" s="11">
        <v>1</v>
      </c>
      <c r="J21" s="19">
        <v>120000</v>
      </c>
      <c r="K21" s="53">
        <f t="shared" ref="K21" si="2">J21*I21*H21</f>
        <v>0</v>
      </c>
      <c r="L21" s="29"/>
      <c r="M21" s="102"/>
      <c r="N21" s="49"/>
      <c r="O21" s="49"/>
    </row>
    <row r="22" spans="1:15" s="21" customFormat="1" ht="37.5" customHeight="1" outlineLevel="1">
      <c r="A22" s="247"/>
      <c r="B22" s="52" t="s">
        <v>104</v>
      </c>
      <c r="C22" s="29"/>
      <c r="D22" s="30"/>
      <c r="E22" s="30"/>
      <c r="F22" s="30"/>
      <c r="G22" s="33" t="s">
        <v>21</v>
      </c>
      <c r="H22" s="34">
        <f>D22/1000*F22/1000</f>
        <v>0</v>
      </c>
      <c r="I22" s="33"/>
      <c r="J22" s="50"/>
      <c r="K22" s="19"/>
      <c r="L22" s="29"/>
      <c r="M22" s="102"/>
      <c r="N22" s="49"/>
      <c r="O22" s="49"/>
    </row>
    <row r="23" spans="1:15" s="21" customFormat="1" ht="37.5" customHeight="1" outlineLevel="1">
      <c r="A23" s="249"/>
      <c r="B23" s="309" t="s">
        <v>293</v>
      </c>
      <c r="C23" s="129"/>
      <c r="D23" s="86"/>
      <c r="E23" s="86"/>
      <c r="F23" s="86"/>
      <c r="G23" s="88" t="s">
        <v>21</v>
      </c>
      <c r="H23" s="87">
        <f>-D23/1000*F23/1000</f>
        <v>0</v>
      </c>
      <c r="I23" s="33"/>
      <c r="J23" s="50"/>
      <c r="K23" s="19"/>
      <c r="L23" s="29"/>
      <c r="M23" s="102"/>
      <c r="N23" s="49"/>
      <c r="O23" s="49"/>
    </row>
    <row r="24" spans="1:15" s="21" customFormat="1" ht="37.5" customHeight="1" outlineLevel="1">
      <c r="A24" s="249"/>
      <c r="B24" s="52" t="s">
        <v>105</v>
      </c>
      <c r="C24" s="129"/>
      <c r="D24" s="30"/>
      <c r="E24" s="30"/>
      <c r="F24" s="30"/>
      <c r="G24" s="33" t="s">
        <v>21</v>
      </c>
      <c r="H24" s="34">
        <f>D24/1000*F24/1000</f>
        <v>0</v>
      </c>
      <c r="I24" s="33"/>
      <c r="J24" s="50"/>
      <c r="K24" s="19"/>
      <c r="L24" s="29"/>
      <c r="M24" s="102"/>
      <c r="N24" s="49"/>
      <c r="O24" s="49"/>
    </row>
    <row r="25" spans="1:15" s="21" customFormat="1" ht="37.5" customHeight="1" outlineLevel="1">
      <c r="A25" s="248"/>
      <c r="B25" s="309" t="s">
        <v>293</v>
      </c>
      <c r="C25" s="129"/>
      <c r="D25" s="86"/>
      <c r="E25" s="86"/>
      <c r="F25" s="86"/>
      <c r="G25" s="88" t="s">
        <v>21</v>
      </c>
      <c r="H25" s="87">
        <f>-D25/1000*F25/1000</f>
        <v>0</v>
      </c>
      <c r="I25" s="33"/>
      <c r="J25" s="50"/>
      <c r="K25" s="19"/>
      <c r="L25" s="29"/>
      <c r="M25" s="102"/>
      <c r="N25" s="49"/>
      <c r="O25" s="49"/>
    </row>
    <row r="26" spans="1:15" s="21" customFormat="1" ht="68.25" customHeight="1">
      <c r="A26" s="11">
        <v>3</v>
      </c>
      <c r="B26" s="84" t="s">
        <v>202</v>
      </c>
      <c r="C26" s="28"/>
      <c r="D26" s="36"/>
      <c r="E26" s="36"/>
      <c r="F26" s="36"/>
      <c r="G26" s="11" t="s">
        <v>21</v>
      </c>
      <c r="H26" s="112">
        <f>SUM(H27:H28)</f>
        <v>0</v>
      </c>
      <c r="I26" s="11">
        <v>1</v>
      </c>
      <c r="J26" s="19">
        <v>55000</v>
      </c>
      <c r="K26" s="19">
        <f t="shared" ref="K26" si="3">J26*I26*H26</f>
        <v>0</v>
      </c>
      <c r="L26" s="133"/>
      <c r="M26" s="102"/>
      <c r="N26" s="49"/>
      <c r="O26" s="49"/>
    </row>
    <row r="27" spans="1:15" s="21" customFormat="1" ht="47.25" hidden="1" customHeight="1" outlineLevel="1">
      <c r="A27" s="11"/>
      <c r="B27" s="29" t="s">
        <v>104</v>
      </c>
      <c r="C27" s="28"/>
      <c r="D27" s="36"/>
      <c r="E27" s="36"/>
      <c r="F27" s="36"/>
      <c r="G27" s="33" t="s">
        <v>21</v>
      </c>
      <c r="H27" s="34"/>
      <c r="I27" s="11"/>
      <c r="J27" s="19"/>
      <c r="K27" s="19"/>
      <c r="L27" s="133"/>
      <c r="M27" s="102"/>
      <c r="N27" s="49"/>
      <c r="O27" s="49"/>
    </row>
    <row r="28" spans="1:15" s="21" customFormat="1" ht="47.25" hidden="1" customHeight="1" outlineLevel="1">
      <c r="A28" s="11"/>
      <c r="B28" s="29" t="s">
        <v>105</v>
      </c>
      <c r="C28" s="28"/>
      <c r="D28" s="36"/>
      <c r="E28" s="36"/>
      <c r="F28" s="36"/>
      <c r="G28" s="33" t="s">
        <v>21</v>
      </c>
      <c r="H28" s="34"/>
      <c r="I28" s="11"/>
      <c r="J28" s="19"/>
      <c r="K28" s="19"/>
      <c r="L28" s="133"/>
      <c r="M28" s="102"/>
      <c r="N28" s="49"/>
      <c r="O28" s="49"/>
    </row>
    <row r="29" spans="1:15" s="200" customFormat="1" ht="81.75" customHeight="1" collapsed="1">
      <c r="A29" s="11">
        <v>4</v>
      </c>
      <c r="B29" s="158" t="s">
        <v>204</v>
      </c>
      <c r="C29" s="62"/>
      <c r="D29" s="44"/>
      <c r="E29" s="44"/>
      <c r="F29" s="44"/>
      <c r="G29" s="55" t="s">
        <v>21</v>
      </c>
      <c r="H29" s="113">
        <f>SUM(H30:H32)</f>
        <v>0</v>
      </c>
      <c r="I29" s="55">
        <v>1</v>
      </c>
      <c r="J29" s="19">
        <v>140000</v>
      </c>
      <c r="K29" s="19">
        <f t="shared" ref="K29:K38" si="4">J29*I29*H29</f>
        <v>0</v>
      </c>
      <c r="L29" s="159"/>
      <c r="M29" s="199"/>
      <c r="N29" s="199"/>
      <c r="O29" s="199"/>
    </row>
    <row r="30" spans="1:15" s="200" customFormat="1" ht="47.25" hidden="1" customHeight="1" outlineLevel="1">
      <c r="A30" s="247"/>
      <c r="B30" s="160" t="s">
        <v>104</v>
      </c>
      <c r="C30" s="201"/>
      <c r="D30" s="161"/>
      <c r="E30" s="161"/>
      <c r="F30" s="202"/>
      <c r="G30" s="191" t="s">
        <v>21</v>
      </c>
      <c r="H30" s="202"/>
      <c r="I30" s="55"/>
      <c r="J30" s="19"/>
      <c r="K30" s="19">
        <f t="shared" si="4"/>
        <v>0</v>
      </c>
      <c r="L30" s="125"/>
      <c r="M30" s="199"/>
      <c r="N30" s="199"/>
      <c r="O30" s="199"/>
    </row>
    <row r="31" spans="1:15" s="200" customFormat="1" ht="47.25" hidden="1" customHeight="1" outlineLevel="1">
      <c r="A31" s="249"/>
      <c r="B31" s="160" t="s">
        <v>105</v>
      </c>
      <c r="C31" s="201"/>
      <c r="D31" s="161"/>
      <c r="E31" s="161"/>
      <c r="F31" s="202"/>
      <c r="G31" s="191" t="s">
        <v>21</v>
      </c>
      <c r="H31" s="202"/>
      <c r="I31" s="55"/>
      <c r="J31" s="19"/>
      <c r="K31" s="19">
        <f t="shared" si="4"/>
        <v>0</v>
      </c>
      <c r="L31" s="125"/>
      <c r="M31" s="199"/>
      <c r="N31" s="199"/>
      <c r="O31" s="199"/>
    </row>
    <row r="32" spans="1:15" s="200" customFormat="1" ht="47.25" hidden="1" customHeight="1" outlineLevel="1">
      <c r="A32" s="248"/>
      <c r="B32" s="160" t="s">
        <v>203</v>
      </c>
      <c r="C32" s="201"/>
      <c r="D32" s="161"/>
      <c r="E32" s="161"/>
      <c r="F32" s="202"/>
      <c r="G32" s="191" t="s">
        <v>21</v>
      </c>
      <c r="H32" s="202"/>
      <c r="I32" s="55"/>
      <c r="J32" s="19"/>
      <c r="K32" s="19">
        <f t="shared" si="4"/>
        <v>0</v>
      </c>
      <c r="L32" s="125"/>
      <c r="M32" s="199"/>
      <c r="N32" s="199"/>
      <c r="O32" s="199"/>
    </row>
    <row r="33" spans="1:14" s="23" customFormat="1" ht="88.5" customHeight="1" collapsed="1">
      <c r="A33" s="11">
        <v>5</v>
      </c>
      <c r="B33" s="158" t="s">
        <v>294</v>
      </c>
      <c r="C33" s="62"/>
      <c r="D33" s="44"/>
      <c r="E33" s="44"/>
      <c r="F33" s="44"/>
      <c r="G33" s="55" t="s">
        <v>21</v>
      </c>
      <c r="H33" s="113">
        <f>SUM(H34:H37)</f>
        <v>0</v>
      </c>
      <c r="I33" s="55">
        <v>1</v>
      </c>
      <c r="J33" s="19">
        <v>170000</v>
      </c>
      <c r="K33" s="19">
        <f t="shared" si="4"/>
        <v>0</v>
      </c>
      <c r="L33" s="125" t="s">
        <v>84</v>
      </c>
      <c r="M33" s="199"/>
      <c r="N33" s="200"/>
    </row>
    <row r="34" spans="1:14" s="23" customFormat="1" ht="52.5" hidden="1" customHeight="1" outlineLevel="1">
      <c r="A34" s="247"/>
      <c r="B34" s="194" t="s">
        <v>123</v>
      </c>
      <c r="C34" s="201"/>
      <c r="D34" s="161"/>
      <c r="E34" s="161"/>
      <c r="F34" s="202"/>
      <c r="G34" s="191" t="s">
        <v>21</v>
      </c>
      <c r="H34" s="202"/>
      <c r="I34" s="55"/>
      <c r="J34" s="19"/>
      <c r="K34" s="19">
        <f t="shared" si="4"/>
        <v>0</v>
      </c>
      <c r="L34" s="201"/>
      <c r="M34" s="199"/>
      <c r="N34" s="200"/>
    </row>
    <row r="35" spans="1:14" s="23" customFormat="1" ht="40.5" hidden="1" customHeight="1" outlineLevel="1">
      <c r="A35" s="249"/>
      <c r="B35" s="201" t="s">
        <v>106</v>
      </c>
      <c r="C35" s="201"/>
      <c r="D35" s="161"/>
      <c r="E35" s="161"/>
      <c r="F35" s="202"/>
      <c r="G35" s="191" t="s">
        <v>21</v>
      </c>
      <c r="H35" s="202"/>
      <c r="I35" s="55"/>
      <c r="J35" s="19"/>
      <c r="K35" s="19">
        <f t="shared" si="4"/>
        <v>0</v>
      </c>
      <c r="L35" s="125"/>
      <c r="M35" s="199"/>
      <c r="N35" s="200"/>
    </row>
    <row r="36" spans="1:14" s="23" customFormat="1" ht="53.25" hidden="1" customHeight="1" outlineLevel="1">
      <c r="A36" s="249"/>
      <c r="B36" s="201" t="s">
        <v>107</v>
      </c>
      <c r="C36" s="201"/>
      <c r="D36" s="161"/>
      <c r="E36" s="161"/>
      <c r="F36" s="202"/>
      <c r="G36" s="191" t="s">
        <v>21</v>
      </c>
      <c r="H36" s="202"/>
      <c r="I36" s="55"/>
      <c r="J36" s="19"/>
      <c r="K36" s="19">
        <f t="shared" si="4"/>
        <v>0</v>
      </c>
      <c r="L36" s="125"/>
      <c r="M36" s="199"/>
      <c r="N36" s="200"/>
    </row>
    <row r="37" spans="1:14" s="23" customFormat="1" ht="53.25" hidden="1" customHeight="1" outlineLevel="1">
      <c r="A37" s="248"/>
      <c r="B37" s="201" t="s">
        <v>127</v>
      </c>
      <c r="C37" s="201"/>
      <c r="D37" s="161"/>
      <c r="E37" s="161"/>
      <c r="F37" s="202"/>
      <c r="G37" s="191" t="s">
        <v>21</v>
      </c>
      <c r="H37" s="202"/>
      <c r="I37" s="55"/>
      <c r="J37" s="19"/>
      <c r="K37" s="19">
        <f t="shared" si="4"/>
        <v>0</v>
      </c>
      <c r="L37" s="125"/>
      <c r="M37" s="199"/>
      <c r="N37" s="200"/>
    </row>
    <row r="38" spans="1:14" s="23" customFormat="1" ht="87" customHeight="1" collapsed="1">
      <c r="A38" s="11">
        <v>6</v>
      </c>
      <c r="B38" s="158" t="s">
        <v>205</v>
      </c>
      <c r="C38" s="62"/>
      <c r="D38" s="44"/>
      <c r="E38" s="44"/>
      <c r="F38" s="44"/>
      <c r="G38" s="55" t="s">
        <v>21</v>
      </c>
      <c r="H38" s="63">
        <f>SUM(H39:H47)</f>
        <v>0</v>
      </c>
      <c r="I38" s="55">
        <v>1</v>
      </c>
      <c r="J38" s="19">
        <v>140000</v>
      </c>
      <c r="K38" s="19">
        <f t="shared" si="4"/>
        <v>0</v>
      </c>
      <c r="L38" s="162"/>
      <c r="M38" s="101"/>
      <c r="N38" s="200"/>
    </row>
    <row r="39" spans="1:14" s="23" customFormat="1" ht="37.5" hidden="1" customHeight="1" outlineLevel="1">
      <c r="A39" s="256"/>
      <c r="B39" s="160"/>
      <c r="C39" s="160"/>
      <c r="D39" s="161"/>
      <c r="E39" s="161"/>
      <c r="F39" s="161"/>
      <c r="G39" s="191" t="s">
        <v>21</v>
      </c>
      <c r="H39" s="192">
        <f>D39/1000*F39/1000</f>
        <v>0</v>
      </c>
      <c r="I39" s="55"/>
      <c r="J39" s="53"/>
      <c r="K39" s="53"/>
      <c r="L39" s="162"/>
      <c r="M39" s="101"/>
      <c r="N39" s="200"/>
    </row>
    <row r="40" spans="1:14" s="23" customFormat="1" ht="33.75" hidden="1" customHeight="1" outlineLevel="1">
      <c r="A40" s="257"/>
      <c r="B40" s="309" t="s">
        <v>293</v>
      </c>
      <c r="C40" s="160"/>
      <c r="D40" s="203"/>
      <c r="E40" s="203"/>
      <c r="F40" s="203"/>
      <c r="G40" s="204" t="s">
        <v>21</v>
      </c>
      <c r="H40" s="205">
        <f>-D40/1000*F40/1000</f>
        <v>0</v>
      </c>
      <c r="I40" s="55"/>
      <c r="J40" s="53"/>
      <c r="K40" s="53"/>
      <c r="L40" s="162"/>
      <c r="M40" s="101"/>
      <c r="N40" s="200"/>
    </row>
    <row r="41" spans="1:14" s="23" customFormat="1" ht="48" hidden="1" customHeight="1" outlineLevel="2">
      <c r="A41" s="257"/>
      <c r="B41" s="160"/>
      <c r="C41" s="201"/>
      <c r="D41" s="161"/>
      <c r="E41" s="161"/>
      <c r="F41" s="161"/>
      <c r="G41" s="191" t="s">
        <v>21</v>
      </c>
      <c r="H41" s="192">
        <f>D41/1000*F41/1000</f>
        <v>0</v>
      </c>
      <c r="I41" s="55"/>
      <c r="J41" s="53"/>
      <c r="K41" s="53"/>
      <c r="L41" s="206"/>
      <c r="M41" s="101"/>
      <c r="N41" s="200"/>
    </row>
    <row r="42" spans="1:14" s="23" customFormat="1" ht="39" hidden="1" customHeight="1" outlineLevel="2">
      <c r="A42" s="257"/>
      <c r="B42" s="160"/>
      <c r="C42" s="201"/>
      <c r="D42" s="161"/>
      <c r="E42" s="161"/>
      <c r="F42" s="161"/>
      <c r="G42" s="191" t="s">
        <v>21</v>
      </c>
      <c r="H42" s="192">
        <f>D42/1000*F42/1000</f>
        <v>0</v>
      </c>
      <c r="I42" s="55"/>
      <c r="J42" s="53"/>
      <c r="K42" s="53"/>
      <c r="L42" s="206"/>
      <c r="M42" s="101"/>
      <c r="N42" s="200"/>
    </row>
    <row r="43" spans="1:14" s="23" customFormat="1" ht="35.25" hidden="1" customHeight="1" outlineLevel="2">
      <c r="A43" s="257"/>
      <c r="B43" s="160"/>
      <c r="C43" s="160"/>
      <c r="D43" s="161"/>
      <c r="E43" s="161"/>
      <c r="F43" s="161"/>
      <c r="G43" s="191" t="s">
        <v>21</v>
      </c>
      <c r="H43" s="192">
        <f>D43/1000*F43/1000</f>
        <v>0</v>
      </c>
      <c r="I43" s="55"/>
      <c r="J43" s="53"/>
      <c r="K43" s="53"/>
      <c r="L43" s="206"/>
      <c r="M43" s="101"/>
      <c r="N43" s="200"/>
    </row>
    <row r="44" spans="1:14" s="23" customFormat="1" ht="35.25" hidden="1" customHeight="1" outlineLevel="2">
      <c r="A44" s="257"/>
      <c r="B44" s="309" t="s">
        <v>293</v>
      </c>
      <c r="C44" s="160"/>
      <c r="D44" s="203"/>
      <c r="E44" s="203"/>
      <c r="F44" s="203"/>
      <c r="G44" s="204" t="s">
        <v>21</v>
      </c>
      <c r="H44" s="205">
        <f>-D44/1000*F44/1000</f>
        <v>0</v>
      </c>
      <c r="I44" s="55"/>
      <c r="J44" s="53"/>
      <c r="K44" s="53"/>
      <c r="L44" s="206"/>
      <c r="M44" s="101"/>
      <c r="N44" s="200"/>
    </row>
    <row r="45" spans="1:14" s="23" customFormat="1" ht="35.25" hidden="1" customHeight="1" outlineLevel="2">
      <c r="A45" s="257"/>
      <c r="B45" s="160"/>
      <c r="C45" s="160"/>
      <c r="D45" s="161"/>
      <c r="E45" s="161"/>
      <c r="F45" s="161"/>
      <c r="G45" s="191" t="s">
        <v>21</v>
      </c>
      <c r="H45" s="192">
        <f>D45/1000*F45/1000</f>
        <v>0</v>
      </c>
      <c r="I45" s="55"/>
      <c r="J45" s="53"/>
      <c r="K45" s="53"/>
      <c r="L45" s="206"/>
      <c r="M45" s="101"/>
      <c r="N45" s="200"/>
    </row>
    <row r="46" spans="1:14" s="23" customFormat="1" ht="35.25" hidden="1" customHeight="1" outlineLevel="2">
      <c r="A46" s="257"/>
      <c r="B46" s="309" t="s">
        <v>293</v>
      </c>
      <c r="C46" s="160"/>
      <c r="D46" s="203"/>
      <c r="E46" s="203"/>
      <c r="F46" s="203"/>
      <c r="G46" s="204" t="s">
        <v>21</v>
      </c>
      <c r="H46" s="205">
        <f>-D46/1000*F46/1000</f>
        <v>0</v>
      </c>
      <c r="I46" s="55"/>
      <c r="J46" s="53"/>
      <c r="K46" s="53"/>
      <c r="L46" s="206"/>
      <c r="M46" s="101"/>
      <c r="N46" s="200"/>
    </row>
    <row r="47" spans="1:14" s="23" customFormat="1" ht="43.5" hidden="1" customHeight="1" outlineLevel="2">
      <c r="A47" s="311"/>
      <c r="B47" s="194"/>
      <c r="C47" s="190"/>
      <c r="D47" s="161"/>
      <c r="E47" s="161"/>
      <c r="F47" s="161"/>
      <c r="G47" s="191" t="s">
        <v>21</v>
      </c>
      <c r="H47" s="192">
        <f>D47/1000*F47/1000</f>
        <v>0</v>
      </c>
      <c r="I47" s="55"/>
      <c r="J47" s="53"/>
      <c r="K47" s="53"/>
      <c r="L47" s="206"/>
      <c r="M47" s="101"/>
      <c r="N47" s="200"/>
    </row>
    <row r="48" spans="1:14" s="23" customFormat="1" ht="91.5" customHeight="1" collapsed="1">
      <c r="A48" s="55">
        <v>7</v>
      </c>
      <c r="B48" s="158" t="s">
        <v>206</v>
      </c>
      <c r="C48" s="62"/>
      <c r="D48" s="44"/>
      <c r="E48" s="44"/>
      <c r="F48" s="44"/>
      <c r="G48" s="55" t="s">
        <v>22</v>
      </c>
      <c r="H48" s="63">
        <v>1</v>
      </c>
      <c r="I48" s="55">
        <v>1</v>
      </c>
      <c r="J48" s="53"/>
      <c r="K48" s="53">
        <f t="shared" ref="K48:K61" si="5">J48*I48*H48</f>
        <v>0</v>
      </c>
      <c r="L48" s="110"/>
      <c r="M48" s="107"/>
      <c r="N48" s="200"/>
    </row>
    <row r="49" spans="1:14" s="22" customFormat="1" ht="195.75" customHeight="1">
      <c r="A49" s="11">
        <v>8</v>
      </c>
      <c r="B49" s="84" t="s">
        <v>207</v>
      </c>
      <c r="C49" s="29"/>
      <c r="D49" s="30"/>
      <c r="E49" s="30"/>
      <c r="F49" s="30"/>
      <c r="G49" s="11" t="s">
        <v>20</v>
      </c>
      <c r="H49" s="31">
        <v>1</v>
      </c>
      <c r="I49" s="11">
        <v>1</v>
      </c>
      <c r="J49" s="19"/>
      <c r="K49" s="19">
        <f t="shared" si="5"/>
        <v>0</v>
      </c>
      <c r="L49" s="89" t="s">
        <v>208</v>
      </c>
      <c r="M49" s="106"/>
      <c r="N49" s="122"/>
    </row>
    <row r="50" spans="1:14" s="22" customFormat="1" ht="123" customHeight="1">
      <c r="A50" s="11">
        <v>9</v>
      </c>
      <c r="B50" s="84" t="s">
        <v>126</v>
      </c>
      <c r="C50" s="29"/>
      <c r="D50" s="30"/>
      <c r="E50" s="30"/>
      <c r="F50" s="30"/>
      <c r="G50" s="11" t="s">
        <v>22</v>
      </c>
      <c r="H50" s="31">
        <v>1</v>
      </c>
      <c r="I50" s="11"/>
      <c r="J50" s="19">
        <v>4500000</v>
      </c>
      <c r="K50" s="19">
        <f t="shared" si="5"/>
        <v>0</v>
      </c>
      <c r="L50" s="89"/>
      <c r="M50" s="106"/>
    </row>
    <row r="51" spans="1:14" s="25" customFormat="1" ht="138" customHeight="1">
      <c r="A51" s="55">
        <v>10</v>
      </c>
      <c r="B51" s="158" t="s">
        <v>209</v>
      </c>
      <c r="C51" s="201"/>
      <c r="D51" s="161"/>
      <c r="E51" s="161"/>
      <c r="F51" s="161"/>
      <c r="G51" s="55" t="s">
        <v>22</v>
      </c>
      <c r="H51" s="63">
        <v>1</v>
      </c>
      <c r="I51" s="55">
        <v>1</v>
      </c>
      <c r="J51" s="53"/>
      <c r="K51" s="53">
        <f t="shared" si="5"/>
        <v>0</v>
      </c>
      <c r="L51" s="223" t="s">
        <v>171</v>
      </c>
      <c r="M51" s="107"/>
    </row>
    <row r="52" spans="1:14" s="22" customFormat="1" ht="69.75" customHeight="1">
      <c r="A52" s="11">
        <v>11</v>
      </c>
      <c r="B52" s="28" t="s">
        <v>124</v>
      </c>
      <c r="C52" s="39"/>
      <c r="D52" s="36"/>
      <c r="E52" s="36"/>
      <c r="F52" s="36"/>
      <c r="G52" s="11" t="s">
        <v>20</v>
      </c>
      <c r="H52" s="112">
        <v>1</v>
      </c>
      <c r="I52" s="11">
        <v>1</v>
      </c>
      <c r="J52" s="19"/>
      <c r="K52" s="19">
        <f t="shared" si="5"/>
        <v>0</v>
      </c>
      <c r="L52" s="134" t="s">
        <v>125</v>
      </c>
      <c r="M52" s="102"/>
    </row>
    <row r="53" spans="1:14" s="3" customFormat="1" ht="60" customHeight="1">
      <c r="A53" s="15">
        <v>12</v>
      </c>
      <c r="B53" s="12" t="s">
        <v>23</v>
      </c>
      <c r="C53" s="12"/>
      <c r="D53" s="17"/>
      <c r="E53" s="17"/>
      <c r="F53" s="17"/>
      <c r="G53" s="15" t="s">
        <v>20</v>
      </c>
      <c r="H53" s="38">
        <v>1</v>
      </c>
      <c r="I53" s="15"/>
      <c r="J53" s="19">
        <v>3500000</v>
      </c>
      <c r="K53" s="19">
        <f t="shared" si="5"/>
        <v>0</v>
      </c>
      <c r="L53" s="54"/>
      <c r="M53" s="102"/>
    </row>
    <row r="54" spans="1:14" s="23" customFormat="1" ht="62.25" customHeight="1">
      <c r="A54" s="64">
        <v>13</v>
      </c>
      <c r="B54" s="62" t="s">
        <v>24</v>
      </c>
      <c r="C54" s="210"/>
      <c r="D54" s="44"/>
      <c r="E54" s="92"/>
      <c r="F54" s="55"/>
      <c r="G54" s="55" t="s">
        <v>25</v>
      </c>
      <c r="H54" s="63">
        <v>1</v>
      </c>
      <c r="I54" s="55"/>
      <c r="J54" s="53">
        <v>600000</v>
      </c>
      <c r="K54" s="53">
        <f t="shared" si="5"/>
        <v>0</v>
      </c>
      <c r="L54" s="71" t="s">
        <v>26</v>
      </c>
      <c r="M54" s="101"/>
    </row>
    <row r="55" spans="1:14" s="23" customFormat="1" ht="62.25" customHeight="1">
      <c r="A55" s="64">
        <v>14</v>
      </c>
      <c r="B55" s="75" t="s">
        <v>27</v>
      </c>
      <c r="C55" s="207"/>
      <c r="D55" s="77"/>
      <c r="E55" s="93"/>
      <c r="F55" s="64"/>
      <c r="G55" s="64" t="s">
        <v>28</v>
      </c>
      <c r="H55" s="208">
        <v>1</v>
      </c>
      <c r="I55" s="64"/>
      <c r="J55" s="53">
        <v>500000</v>
      </c>
      <c r="K55" s="53">
        <f t="shared" si="5"/>
        <v>0</v>
      </c>
      <c r="L55" s="209" t="s">
        <v>274</v>
      </c>
      <c r="M55" s="101"/>
    </row>
    <row r="56" spans="1:14" s="20" customFormat="1" ht="58.5" customHeight="1">
      <c r="A56" s="27" t="s">
        <v>91</v>
      </c>
      <c r="B56" s="277" t="s">
        <v>275</v>
      </c>
      <c r="C56" s="278"/>
      <c r="D56" s="278"/>
      <c r="E56" s="278"/>
      <c r="F56" s="278"/>
      <c r="G56" s="278"/>
      <c r="H56" s="278"/>
      <c r="I56" s="278"/>
      <c r="J56" s="279"/>
      <c r="K56" s="46"/>
      <c r="L56" s="57"/>
      <c r="M56" s="101"/>
    </row>
    <row r="57" spans="1:14" s="23" customFormat="1" ht="81" customHeight="1">
      <c r="A57" s="64">
        <v>1</v>
      </c>
      <c r="B57" s="62" t="s">
        <v>180</v>
      </c>
      <c r="C57" s="229"/>
      <c r="D57" s="44"/>
      <c r="E57" s="44"/>
      <c r="F57" s="44"/>
      <c r="G57" s="55" t="s">
        <v>37</v>
      </c>
      <c r="H57" s="113">
        <f>F57/1000</f>
        <v>0</v>
      </c>
      <c r="I57" s="55">
        <v>1</v>
      </c>
      <c r="J57" s="53">
        <v>1200000</v>
      </c>
      <c r="K57" s="19">
        <f t="shared" ref="K57:K59" si="6">J57*I57*H57</f>
        <v>0</v>
      </c>
      <c r="L57" s="71" t="s">
        <v>190</v>
      </c>
      <c r="M57" s="101"/>
    </row>
    <row r="58" spans="1:14" s="23" customFormat="1" ht="84" customHeight="1">
      <c r="A58" s="64">
        <v>2</v>
      </c>
      <c r="B58" s="62" t="s">
        <v>181</v>
      </c>
      <c r="C58" s="206"/>
      <c r="D58" s="44"/>
      <c r="E58" s="44"/>
      <c r="F58" s="44"/>
      <c r="G58" s="55" t="s">
        <v>37</v>
      </c>
      <c r="H58" s="113">
        <f>D58/1000</f>
        <v>0</v>
      </c>
      <c r="I58" s="55">
        <v>1</v>
      </c>
      <c r="J58" s="53">
        <v>1350000</v>
      </c>
      <c r="K58" s="19">
        <f t="shared" si="6"/>
        <v>0</v>
      </c>
      <c r="L58" s="196" t="s">
        <v>182</v>
      </c>
      <c r="M58" s="101"/>
    </row>
    <row r="59" spans="1:14" s="23" customFormat="1" ht="84" customHeight="1">
      <c r="A59" s="64">
        <v>3</v>
      </c>
      <c r="B59" s="28" t="s">
        <v>191</v>
      </c>
      <c r="C59" s="211"/>
      <c r="D59" s="36"/>
      <c r="E59" s="36"/>
      <c r="F59" s="36"/>
      <c r="G59" s="11" t="s">
        <v>21</v>
      </c>
      <c r="H59" s="112"/>
      <c r="I59" s="11">
        <v>1</v>
      </c>
      <c r="J59" s="19">
        <v>3500000</v>
      </c>
      <c r="K59" s="19">
        <f t="shared" si="6"/>
        <v>0</v>
      </c>
      <c r="L59" s="56" t="s">
        <v>32</v>
      </c>
      <c r="M59" s="101"/>
    </row>
    <row r="60" spans="1:14" s="132" customFormat="1" ht="63.75" customHeight="1">
      <c r="A60" s="82">
        <v>4</v>
      </c>
      <c r="B60" s="28" t="s">
        <v>231</v>
      </c>
      <c r="C60" s="138"/>
      <c r="D60" s="36"/>
      <c r="E60" s="36"/>
      <c r="F60" s="36"/>
      <c r="G60" s="11" t="s">
        <v>22</v>
      </c>
      <c r="H60" s="43">
        <v>1</v>
      </c>
      <c r="I60" s="11">
        <v>1</v>
      </c>
      <c r="J60" s="19"/>
      <c r="K60" s="19">
        <f>H60*I60*J60</f>
        <v>0</v>
      </c>
      <c r="L60" s="60"/>
      <c r="M60" s="102"/>
    </row>
    <row r="61" spans="1:14" s="23" customFormat="1" ht="78.75" customHeight="1">
      <c r="A61" s="163"/>
      <c r="B61" s="62"/>
      <c r="C61" s="164"/>
      <c r="D61" s="44"/>
      <c r="E61" s="44"/>
      <c r="F61" s="44"/>
      <c r="G61" s="55"/>
      <c r="H61" s="165"/>
      <c r="I61" s="55"/>
      <c r="J61" s="53"/>
      <c r="K61" s="53">
        <f t="shared" si="5"/>
        <v>0</v>
      </c>
      <c r="L61" s="166"/>
      <c r="M61" s="101"/>
    </row>
    <row r="62" spans="1:14" s="20" customFormat="1" ht="58.5" customHeight="1">
      <c r="A62" s="27" t="s">
        <v>276</v>
      </c>
      <c r="B62" s="277" t="s">
        <v>29</v>
      </c>
      <c r="C62" s="278"/>
      <c r="D62" s="278"/>
      <c r="E62" s="278"/>
      <c r="F62" s="278"/>
      <c r="G62" s="278"/>
      <c r="H62" s="278"/>
      <c r="I62" s="278"/>
      <c r="J62" s="279"/>
      <c r="K62" s="46"/>
      <c r="L62" s="57"/>
      <c r="M62" s="101"/>
    </row>
    <row r="63" spans="1:14" s="20" customFormat="1" ht="48.75" customHeight="1">
      <c r="A63" s="41" t="s">
        <v>30</v>
      </c>
      <c r="B63" s="264" t="s">
        <v>112</v>
      </c>
      <c r="C63" s="265"/>
      <c r="D63" s="265"/>
      <c r="E63" s="265"/>
      <c r="F63" s="265"/>
      <c r="G63" s="265"/>
      <c r="H63" s="265"/>
      <c r="I63" s="265"/>
      <c r="J63" s="266"/>
      <c r="K63" s="58">
        <f>SUM(K64:K106)</f>
        <v>0</v>
      </c>
      <c r="L63" s="59"/>
      <c r="M63" s="101"/>
    </row>
    <row r="64" spans="1:14" s="23" customFormat="1" ht="98.25" customHeight="1">
      <c r="A64" s="163">
        <v>1</v>
      </c>
      <c r="B64" s="62" t="s">
        <v>210</v>
      </c>
      <c r="C64" s="164"/>
      <c r="D64" s="44"/>
      <c r="E64" s="44"/>
      <c r="F64" s="44"/>
      <c r="G64" s="55" t="s">
        <v>21</v>
      </c>
      <c r="H64" s="165"/>
      <c r="I64" s="55">
        <v>1</v>
      </c>
      <c r="J64" s="53">
        <v>430000</v>
      </c>
      <c r="K64" s="53">
        <f>J64*I64*H64</f>
        <v>0</v>
      </c>
      <c r="L64" s="166" t="s">
        <v>108</v>
      </c>
      <c r="M64" s="101"/>
    </row>
    <row r="65" spans="1:14" s="23" customFormat="1" ht="93" customHeight="1">
      <c r="A65" s="15">
        <v>2</v>
      </c>
      <c r="B65" s="28" t="s">
        <v>296</v>
      </c>
      <c r="C65" s="42"/>
      <c r="D65" s="36"/>
      <c r="E65" s="36"/>
      <c r="F65" s="36"/>
      <c r="G65" s="11" t="s">
        <v>21</v>
      </c>
      <c r="H65" s="43"/>
      <c r="I65" s="11">
        <v>1</v>
      </c>
      <c r="J65" s="19">
        <v>205000</v>
      </c>
      <c r="K65" s="53">
        <f t="shared" ref="K65:K99" si="7">J65*I65*H65</f>
        <v>0</v>
      </c>
      <c r="L65" s="60" t="s">
        <v>297</v>
      </c>
      <c r="M65" s="101"/>
    </row>
    <row r="66" spans="1:14" s="23" customFormat="1" ht="103.5" customHeight="1">
      <c r="A66" s="15">
        <v>3</v>
      </c>
      <c r="B66" s="12" t="s">
        <v>298</v>
      </c>
      <c r="C66" s="28"/>
      <c r="D66" s="36"/>
      <c r="E66" s="36"/>
      <c r="F66" s="36"/>
      <c r="G66" s="11" t="s">
        <v>21</v>
      </c>
      <c r="H66" s="31">
        <f>SUM(H67:H71)</f>
        <v>0</v>
      </c>
      <c r="I66" s="11">
        <v>1</v>
      </c>
      <c r="J66" s="19">
        <v>360000</v>
      </c>
      <c r="K66" s="53">
        <f t="shared" si="7"/>
        <v>0</v>
      </c>
      <c r="L66" s="56" t="s">
        <v>32</v>
      </c>
      <c r="M66" s="150"/>
    </row>
    <row r="67" spans="1:14" s="23" customFormat="1" ht="48.75" customHeight="1" outlineLevel="1">
      <c r="A67" s="253"/>
      <c r="B67" s="52"/>
      <c r="C67" s="52"/>
      <c r="D67" s="30"/>
      <c r="E67" s="30"/>
      <c r="F67" s="30"/>
      <c r="G67" s="33" t="s">
        <v>21</v>
      </c>
      <c r="H67" s="114">
        <f t="shared" ref="H67" si="8">D67/1000*F67/1000</f>
        <v>0</v>
      </c>
      <c r="I67" s="11"/>
      <c r="J67" s="19"/>
      <c r="K67" s="53"/>
      <c r="L67" s="56"/>
      <c r="M67" s="101"/>
    </row>
    <row r="68" spans="1:14" s="23" customFormat="1" ht="48.75" customHeight="1" outlineLevel="1">
      <c r="A68" s="254"/>
      <c r="B68" s="309" t="s">
        <v>293</v>
      </c>
      <c r="C68" s="52"/>
      <c r="D68" s="68"/>
      <c r="E68" s="68"/>
      <c r="F68" s="68"/>
      <c r="G68" s="69" t="s">
        <v>21</v>
      </c>
      <c r="H68" s="115">
        <f t="shared" ref="H68" si="9">-D68/1000*F68/1000</f>
        <v>0</v>
      </c>
      <c r="I68" s="11"/>
      <c r="J68" s="19"/>
      <c r="K68" s="53"/>
      <c r="L68" s="56"/>
      <c r="M68" s="101"/>
    </row>
    <row r="69" spans="1:14" s="23" customFormat="1" ht="48.75" customHeight="1" outlineLevel="1">
      <c r="A69" s="254"/>
      <c r="B69" s="52"/>
      <c r="C69" s="52"/>
      <c r="D69" s="30"/>
      <c r="E69" s="30"/>
      <c r="F69" s="30"/>
      <c r="G69" s="33" t="s">
        <v>21</v>
      </c>
      <c r="H69" s="114">
        <f t="shared" ref="H69" si="10">D69/1000*F69/1000</f>
        <v>0</v>
      </c>
      <c r="I69" s="11"/>
      <c r="J69" s="19"/>
      <c r="K69" s="53"/>
      <c r="L69" s="56"/>
      <c r="M69" s="101"/>
    </row>
    <row r="70" spans="1:14" s="23" customFormat="1" ht="47.25" customHeight="1" outlineLevel="1">
      <c r="A70" s="254"/>
      <c r="B70" s="309" t="s">
        <v>293</v>
      </c>
      <c r="C70" s="52"/>
      <c r="D70" s="68"/>
      <c r="E70" s="68"/>
      <c r="F70" s="68"/>
      <c r="G70" s="69" t="s">
        <v>21</v>
      </c>
      <c r="H70" s="115">
        <f t="shared" ref="H70" si="11">-D70/1000*F70/1000</f>
        <v>0</v>
      </c>
      <c r="I70" s="11"/>
      <c r="J70" s="19"/>
      <c r="K70" s="53"/>
      <c r="L70" s="56"/>
      <c r="M70" s="102"/>
    </row>
    <row r="71" spans="1:14" s="3" customFormat="1" ht="48.75" customHeight="1" outlineLevel="1">
      <c r="A71" s="255"/>
      <c r="B71" s="52"/>
      <c r="C71" s="130"/>
      <c r="D71" s="30"/>
      <c r="E71" s="30"/>
      <c r="F71" s="30"/>
      <c r="G71" s="33" t="s">
        <v>21</v>
      </c>
      <c r="H71" s="114">
        <f t="shared" ref="H71" si="12">D71/1000*F71/1000</f>
        <v>0</v>
      </c>
      <c r="I71" s="11"/>
      <c r="J71" s="19"/>
      <c r="K71" s="53"/>
      <c r="L71" s="56"/>
      <c r="M71" s="106"/>
    </row>
    <row r="72" spans="1:14" s="3" customFormat="1" ht="69" customHeight="1">
      <c r="A72" s="15">
        <v>4</v>
      </c>
      <c r="B72" s="12" t="s">
        <v>299</v>
      </c>
      <c r="C72" s="28"/>
      <c r="D72" s="36"/>
      <c r="E72" s="36"/>
      <c r="F72" s="36"/>
      <c r="G72" s="11" t="s">
        <v>21</v>
      </c>
      <c r="H72" s="31">
        <f>SUM(H73:H74)</f>
        <v>0</v>
      </c>
      <c r="I72" s="11">
        <v>1</v>
      </c>
      <c r="J72" s="19">
        <v>720000</v>
      </c>
      <c r="K72" s="53">
        <f t="shared" ref="K72" si="13">J72*I72*H72</f>
        <v>0</v>
      </c>
      <c r="L72" s="56" t="s">
        <v>32</v>
      </c>
      <c r="M72" s="106"/>
    </row>
    <row r="73" spans="1:14" s="23" customFormat="1" ht="48.75" hidden="1" customHeight="1" outlineLevel="1">
      <c r="A73" s="15"/>
      <c r="B73" s="52"/>
      <c r="C73" s="52"/>
      <c r="D73" s="30"/>
      <c r="E73" s="30"/>
      <c r="F73" s="30"/>
      <c r="G73" s="33" t="s">
        <v>21</v>
      </c>
      <c r="H73" s="114">
        <f t="shared" ref="H73" si="14">D73/1000*F73/1000</f>
        <v>0</v>
      </c>
      <c r="I73" s="11"/>
      <c r="J73" s="19"/>
      <c r="K73" s="53"/>
      <c r="L73" s="56"/>
      <c r="M73" s="101"/>
    </row>
    <row r="74" spans="1:14" s="23" customFormat="1" ht="48.75" hidden="1" customHeight="1" outlineLevel="1">
      <c r="A74" s="15"/>
      <c r="B74" s="309" t="s">
        <v>293</v>
      </c>
      <c r="C74" s="52"/>
      <c r="D74" s="68"/>
      <c r="E74" s="68"/>
      <c r="F74" s="68"/>
      <c r="G74" s="69" t="s">
        <v>21</v>
      </c>
      <c r="H74" s="115">
        <f t="shared" ref="H74" si="15">-D74/1000*F74/1000</f>
        <v>0</v>
      </c>
      <c r="I74" s="11"/>
      <c r="J74" s="19"/>
      <c r="K74" s="53"/>
      <c r="L74" s="56"/>
      <c r="M74" s="101"/>
    </row>
    <row r="75" spans="1:14" s="24" customFormat="1" ht="75.75" customHeight="1" collapsed="1">
      <c r="A75" s="15">
        <v>5</v>
      </c>
      <c r="B75" s="28" t="s">
        <v>83</v>
      </c>
      <c r="C75" s="29"/>
      <c r="D75" s="17"/>
      <c r="E75" s="30"/>
      <c r="F75" s="30"/>
      <c r="G75" s="11" t="s">
        <v>21</v>
      </c>
      <c r="H75" s="112"/>
      <c r="I75" s="11">
        <v>1</v>
      </c>
      <c r="J75" s="19">
        <v>205000</v>
      </c>
      <c r="K75" s="53">
        <f t="shared" si="7"/>
        <v>0</v>
      </c>
      <c r="L75" s="60" t="s">
        <v>31</v>
      </c>
      <c r="M75" s="102"/>
    </row>
    <row r="76" spans="1:14" s="3" customFormat="1" ht="62.25" customHeight="1">
      <c r="A76" s="15">
        <v>6</v>
      </c>
      <c r="B76" s="28" t="s">
        <v>212</v>
      </c>
      <c r="C76" s="136"/>
      <c r="D76" s="36">
        <f>D67+D71</f>
        <v>0</v>
      </c>
      <c r="E76" s="36"/>
      <c r="F76" s="36"/>
      <c r="G76" s="11" t="s">
        <v>37</v>
      </c>
      <c r="H76" s="112">
        <f>+D76/1000</f>
        <v>0</v>
      </c>
      <c r="I76" s="11">
        <v>1</v>
      </c>
      <c r="J76" s="19">
        <v>800000</v>
      </c>
      <c r="K76" s="53">
        <f t="shared" si="7"/>
        <v>0</v>
      </c>
      <c r="L76" s="51" t="s">
        <v>211</v>
      </c>
      <c r="M76" s="102"/>
    </row>
    <row r="77" spans="1:14" s="3" customFormat="1" ht="60.75" customHeight="1">
      <c r="A77" s="15">
        <v>7</v>
      </c>
      <c r="B77" s="28" t="s">
        <v>128</v>
      </c>
      <c r="C77" s="136"/>
      <c r="D77" s="36"/>
      <c r="E77" s="36"/>
      <c r="F77" s="36"/>
      <c r="G77" s="11" t="s">
        <v>37</v>
      </c>
      <c r="H77" s="112">
        <f>F77/1000</f>
        <v>0</v>
      </c>
      <c r="I77" s="11">
        <v>1</v>
      </c>
      <c r="J77" s="19">
        <f>360000+205000</f>
        <v>565000</v>
      </c>
      <c r="K77" s="53">
        <f t="shared" si="7"/>
        <v>0</v>
      </c>
      <c r="L77" s="51" t="s">
        <v>32</v>
      </c>
      <c r="M77" s="102"/>
    </row>
    <row r="78" spans="1:14" s="3" customFormat="1" ht="66" customHeight="1">
      <c r="A78" s="15">
        <v>8</v>
      </c>
      <c r="B78" s="62" t="s">
        <v>216</v>
      </c>
      <c r="C78" s="193"/>
      <c r="D78" s="44"/>
      <c r="E78" s="44"/>
      <c r="F78" s="44"/>
      <c r="G78" s="55" t="s">
        <v>138</v>
      </c>
      <c r="H78" s="113">
        <v>1</v>
      </c>
      <c r="I78" s="55"/>
      <c r="J78" s="53">
        <v>1500000</v>
      </c>
      <c r="K78" s="19">
        <f t="shared" si="7"/>
        <v>0</v>
      </c>
      <c r="L78" s="71" t="s">
        <v>139</v>
      </c>
      <c r="M78" s="102"/>
    </row>
    <row r="79" spans="1:14" s="3" customFormat="1" ht="77.25" customHeight="1">
      <c r="A79" s="35">
        <v>9</v>
      </c>
      <c r="B79" s="28" t="s">
        <v>301</v>
      </c>
      <c r="C79" s="28"/>
      <c r="D79" s="36"/>
      <c r="E79" s="36"/>
      <c r="F79" s="36"/>
      <c r="G79" s="11" t="s">
        <v>21</v>
      </c>
      <c r="H79" s="112"/>
      <c r="I79" s="11">
        <v>1</v>
      </c>
      <c r="J79" s="19">
        <v>260000</v>
      </c>
      <c r="K79" s="53">
        <f t="shared" si="7"/>
        <v>0</v>
      </c>
      <c r="L79" s="51" t="s">
        <v>33</v>
      </c>
      <c r="M79" s="101"/>
      <c r="N79" s="24"/>
    </row>
    <row r="80" spans="1:14" s="23" customFormat="1" ht="67.5" customHeight="1">
      <c r="A80" s="247">
        <v>10</v>
      </c>
      <c r="B80" s="28" t="s">
        <v>93</v>
      </c>
      <c r="C80" s="28"/>
      <c r="D80" s="44"/>
      <c r="E80" s="44"/>
      <c r="F80" s="44"/>
      <c r="G80" s="11" t="s">
        <v>21</v>
      </c>
      <c r="H80" s="112"/>
      <c r="I80" s="11">
        <v>1</v>
      </c>
      <c r="J80" s="19">
        <v>290000</v>
      </c>
      <c r="K80" s="53">
        <f t="shared" si="7"/>
        <v>0</v>
      </c>
      <c r="L80" s="51" t="s">
        <v>34</v>
      </c>
      <c r="M80" s="101"/>
      <c r="N80" s="24"/>
    </row>
    <row r="81" spans="1:14" s="23" customFormat="1" ht="129" customHeight="1">
      <c r="A81" s="249"/>
      <c r="B81" s="28" t="s">
        <v>109</v>
      </c>
      <c r="C81" s="111"/>
      <c r="D81" s="36"/>
      <c r="E81" s="36"/>
      <c r="F81"/>
      <c r="G81" s="11" t="s">
        <v>21</v>
      </c>
      <c r="H81" s="112"/>
      <c r="I81" s="15">
        <v>1</v>
      </c>
      <c r="J81" s="19">
        <v>300000</v>
      </c>
      <c r="K81" s="53">
        <f t="shared" si="7"/>
        <v>0</v>
      </c>
      <c r="L81" s="61" t="s">
        <v>90</v>
      </c>
      <c r="M81" s="101"/>
    </row>
    <row r="82" spans="1:14" s="23" customFormat="1" ht="121.5" customHeight="1">
      <c r="A82" s="248"/>
      <c r="B82" s="28" t="s">
        <v>213</v>
      </c>
      <c r="C82" s="111"/>
      <c r="D82" s="36"/>
      <c r="E82" s="36"/>
      <c r="F82" s="36"/>
      <c r="G82" s="11" t="s">
        <v>21</v>
      </c>
      <c r="H82" s="112"/>
      <c r="I82" s="15">
        <v>1</v>
      </c>
      <c r="J82" s="19">
        <v>300000</v>
      </c>
      <c r="K82" s="53">
        <f t="shared" si="7"/>
        <v>0</v>
      </c>
      <c r="L82" s="61" t="s">
        <v>89</v>
      </c>
      <c r="M82" s="101"/>
    </row>
    <row r="83" spans="1:14" s="3" customFormat="1" ht="69.75" customHeight="1">
      <c r="A83" s="247">
        <v>11</v>
      </c>
      <c r="B83" s="28" t="s">
        <v>76</v>
      </c>
      <c r="C83" s="45"/>
      <c r="D83" s="36"/>
      <c r="E83" s="36"/>
      <c r="F83" s="36"/>
      <c r="G83" s="11" t="s">
        <v>21</v>
      </c>
      <c r="H83" s="112"/>
      <c r="I83" s="11">
        <v>1</v>
      </c>
      <c r="J83" s="19">
        <v>320000</v>
      </c>
      <c r="K83" s="53">
        <f t="shared" si="7"/>
        <v>0</v>
      </c>
      <c r="L83" s="51" t="s">
        <v>35</v>
      </c>
      <c r="M83" s="102"/>
    </row>
    <row r="84" spans="1:14" s="3" customFormat="1" ht="153.75" customHeight="1">
      <c r="A84" s="248"/>
      <c r="B84" s="28" t="s">
        <v>92</v>
      </c>
      <c r="C84" s="111"/>
      <c r="D84" s="36"/>
      <c r="E84" s="36"/>
      <c r="F84" s="36"/>
      <c r="G84" s="11" t="s">
        <v>21</v>
      </c>
      <c r="H84" s="112"/>
      <c r="I84" s="15">
        <v>1</v>
      </c>
      <c r="J84" s="19">
        <v>300000</v>
      </c>
      <c r="K84" s="53">
        <f t="shared" si="7"/>
        <v>0</v>
      </c>
      <c r="L84" s="61" t="s">
        <v>89</v>
      </c>
      <c r="M84" s="101"/>
    </row>
    <row r="85" spans="1:14" s="23" customFormat="1" ht="105.75" customHeight="1">
      <c r="A85" s="64">
        <v>12</v>
      </c>
      <c r="B85" s="28" t="s">
        <v>214</v>
      </c>
      <c r="C85" s="28"/>
      <c r="D85" s="36"/>
      <c r="E85" s="40"/>
      <c r="F85" s="11"/>
      <c r="G85" s="11" t="s">
        <v>37</v>
      </c>
      <c r="H85" s="31">
        <f>SUM(H86:H88)</f>
        <v>0</v>
      </c>
      <c r="I85" s="11">
        <v>1</v>
      </c>
      <c r="J85" s="19">
        <v>150000</v>
      </c>
      <c r="K85" s="53">
        <f t="shared" ref="K85" si="16">J85*I85*H85</f>
        <v>0</v>
      </c>
      <c r="L85" s="51" t="s">
        <v>38</v>
      </c>
      <c r="M85" s="107"/>
    </row>
    <row r="86" spans="1:14" s="25" customFormat="1" ht="38.25" hidden="1" customHeight="1" outlineLevel="1">
      <c r="A86" s="258"/>
      <c r="B86" s="29"/>
      <c r="C86" s="29"/>
      <c r="D86" s="30"/>
      <c r="E86" s="65"/>
      <c r="F86" s="33"/>
      <c r="G86" s="33" t="s">
        <v>37</v>
      </c>
      <c r="H86" s="114">
        <f t="shared" ref="H86:H88" si="17">D86/1000*1.1</f>
        <v>0</v>
      </c>
      <c r="I86" s="33"/>
      <c r="J86" s="19"/>
      <c r="K86" s="53"/>
      <c r="L86" s="29"/>
      <c r="M86" s="107"/>
    </row>
    <row r="87" spans="1:14" s="25" customFormat="1" ht="38.25" hidden="1" customHeight="1" outlineLevel="1">
      <c r="A87" s="259"/>
      <c r="B87" s="29"/>
      <c r="C87" s="29"/>
      <c r="D87" s="30"/>
      <c r="E87" s="65"/>
      <c r="F87" s="33"/>
      <c r="G87" s="33" t="s">
        <v>37</v>
      </c>
      <c r="H87" s="114">
        <f t="shared" si="17"/>
        <v>0</v>
      </c>
      <c r="I87" s="33"/>
      <c r="J87" s="19"/>
      <c r="K87" s="53"/>
      <c r="L87" s="29"/>
      <c r="M87" s="107"/>
    </row>
    <row r="88" spans="1:14" s="25" customFormat="1" ht="38.25" hidden="1" customHeight="1" outlineLevel="1">
      <c r="A88" s="260"/>
      <c r="B88" s="29"/>
      <c r="C88" s="29"/>
      <c r="D88" s="30"/>
      <c r="E88" s="65"/>
      <c r="F88" s="33"/>
      <c r="G88" s="33" t="s">
        <v>37</v>
      </c>
      <c r="H88" s="114">
        <f t="shared" si="17"/>
        <v>0</v>
      </c>
      <c r="I88" s="33"/>
      <c r="J88" s="19"/>
      <c r="K88" s="53"/>
      <c r="L88" s="29"/>
      <c r="M88" s="106"/>
    </row>
    <row r="89" spans="1:14" s="23" customFormat="1" ht="69" customHeight="1" collapsed="1">
      <c r="A89" s="247">
        <v>13</v>
      </c>
      <c r="B89" s="62" t="s">
        <v>110</v>
      </c>
      <c r="C89" s="62"/>
      <c r="D89" s="44"/>
      <c r="E89" s="44"/>
      <c r="F89" s="44"/>
      <c r="G89" s="55" t="s">
        <v>20</v>
      </c>
      <c r="H89" s="63">
        <v>1</v>
      </c>
      <c r="I89" s="55"/>
      <c r="J89" s="19">
        <v>1200000</v>
      </c>
      <c r="K89" s="53">
        <f t="shared" si="7"/>
        <v>0</v>
      </c>
      <c r="L89" s="71" t="s">
        <v>36</v>
      </c>
      <c r="M89" s="101"/>
    </row>
    <row r="90" spans="1:14" s="23" customFormat="1" ht="75" customHeight="1">
      <c r="A90" s="248"/>
      <c r="B90" s="28" t="s">
        <v>223</v>
      </c>
      <c r="C90" s="28"/>
      <c r="D90" s="36"/>
      <c r="E90" s="36"/>
      <c r="F90" s="36"/>
      <c r="G90" s="11" t="s">
        <v>20</v>
      </c>
      <c r="H90" s="31">
        <v>1</v>
      </c>
      <c r="I90" s="11"/>
      <c r="J90" s="19">
        <v>3000000</v>
      </c>
      <c r="K90" s="53">
        <f t="shared" si="7"/>
        <v>0</v>
      </c>
      <c r="L90" s="51" t="s">
        <v>36</v>
      </c>
      <c r="M90" s="101"/>
    </row>
    <row r="91" spans="1:14" s="25" customFormat="1" ht="96.75" customHeight="1">
      <c r="A91" s="11">
        <v>14</v>
      </c>
      <c r="B91" s="62" t="s">
        <v>215</v>
      </c>
      <c r="C91" s="125"/>
      <c r="D91" s="44"/>
      <c r="E91" s="44"/>
      <c r="F91" s="44"/>
      <c r="G91" s="55" t="s">
        <v>21</v>
      </c>
      <c r="H91" s="113"/>
      <c r="I91" s="55">
        <v>1</v>
      </c>
      <c r="J91" s="53">
        <v>295000</v>
      </c>
      <c r="K91" s="53">
        <f t="shared" si="7"/>
        <v>0</v>
      </c>
      <c r="L91" s="71" t="s">
        <v>39</v>
      </c>
      <c r="M91" s="102"/>
    </row>
    <row r="92" spans="1:14" s="22" customFormat="1" ht="54" hidden="1" customHeight="1" outlineLevel="1">
      <c r="A92" s="247"/>
      <c r="B92" s="29"/>
      <c r="C92" s="29"/>
      <c r="D92" s="30"/>
      <c r="E92" s="30"/>
      <c r="F92" s="30"/>
      <c r="G92" s="33" t="s">
        <v>21</v>
      </c>
      <c r="H92" s="114">
        <f>D92/1000*F92/1000</f>
        <v>0</v>
      </c>
      <c r="I92" s="33"/>
      <c r="J92" s="50"/>
      <c r="K92" s="53"/>
      <c r="L92" s="154"/>
      <c r="M92" s="155"/>
    </row>
    <row r="93" spans="1:14" s="22" customFormat="1" ht="54" hidden="1" customHeight="1" outlineLevel="1">
      <c r="A93" s="248"/>
      <c r="B93" s="29"/>
      <c r="C93" s="29"/>
      <c r="D93" s="30"/>
      <c r="E93" s="30"/>
      <c r="F93" s="30"/>
      <c r="G93" s="33" t="s">
        <v>21</v>
      </c>
      <c r="H93" s="114">
        <f>D93/1000*F93/1000</f>
        <v>0</v>
      </c>
      <c r="I93" s="33"/>
      <c r="J93" s="50"/>
      <c r="K93" s="53"/>
      <c r="L93" s="154"/>
      <c r="M93" s="155"/>
    </row>
    <row r="94" spans="1:14" s="3" customFormat="1" ht="85.5" customHeight="1" collapsed="1">
      <c r="A94" s="11">
        <v>15</v>
      </c>
      <c r="B94" s="28" t="s">
        <v>135</v>
      </c>
      <c r="C94" s="48"/>
      <c r="D94" s="36"/>
      <c r="E94" s="36"/>
      <c r="F94" s="36"/>
      <c r="G94" s="11" t="s">
        <v>21</v>
      </c>
      <c r="H94" s="112"/>
      <c r="I94" s="11">
        <v>1</v>
      </c>
      <c r="J94" s="19">
        <v>195000</v>
      </c>
      <c r="K94" s="53">
        <f t="shared" si="7"/>
        <v>0</v>
      </c>
      <c r="L94" s="56" t="s">
        <v>39</v>
      </c>
      <c r="M94" s="101"/>
    </row>
    <row r="95" spans="1:14" s="23" customFormat="1" ht="72" customHeight="1">
      <c r="A95" s="247">
        <v>16</v>
      </c>
      <c r="B95" s="28" t="s">
        <v>40</v>
      </c>
      <c r="C95" s="66"/>
      <c r="D95" s="36"/>
      <c r="E95" s="36"/>
      <c r="F95" s="36"/>
      <c r="G95" s="11" t="s">
        <v>20</v>
      </c>
      <c r="H95" s="112">
        <v>1</v>
      </c>
      <c r="I95" s="11"/>
      <c r="J95" s="19">
        <v>1050000</v>
      </c>
      <c r="K95" s="53">
        <f t="shared" si="7"/>
        <v>0</v>
      </c>
      <c r="L95" s="56" t="s">
        <v>41</v>
      </c>
      <c r="M95" s="102"/>
      <c r="N95" s="3"/>
    </row>
    <row r="96" spans="1:14" s="3" customFormat="1" ht="67.5" customHeight="1">
      <c r="A96" s="248"/>
      <c r="B96" s="28" t="s">
        <v>88</v>
      </c>
      <c r="C96" s="67"/>
      <c r="D96" s="36"/>
      <c r="E96" s="40"/>
      <c r="F96" s="11"/>
      <c r="G96" s="11" t="s">
        <v>42</v>
      </c>
      <c r="H96" s="112">
        <v>1</v>
      </c>
      <c r="I96" s="11"/>
      <c r="J96" s="19">
        <v>600000</v>
      </c>
      <c r="K96" s="53">
        <f t="shared" si="7"/>
        <v>0</v>
      </c>
      <c r="L96" s="56" t="s">
        <v>43</v>
      </c>
      <c r="M96" s="101"/>
    </row>
    <row r="97" spans="1:13" s="23" customFormat="1" ht="66.75" customHeight="1">
      <c r="A97" s="11">
        <v>17</v>
      </c>
      <c r="B97" s="62" t="s">
        <v>74</v>
      </c>
      <c r="C97" s="109"/>
      <c r="D97" s="44"/>
      <c r="E97" s="92"/>
      <c r="F97" s="55"/>
      <c r="G97" s="55" t="s">
        <v>21</v>
      </c>
      <c r="H97" s="113"/>
      <c r="I97" s="55">
        <v>1</v>
      </c>
      <c r="J97" s="53">
        <v>35000</v>
      </c>
      <c r="K97" s="53">
        <f t="shared" si="7"/>
        <v>0</v>
      </c>
      <c r="L97" s="62" t="s">
        <v>44</v>
      </c>
      <c r="M97" s="102"/>
    </row>
    <row r="98" spans="1:13" s="3" customFormat="1" ht="109.5" customHeight="1">
      <c r="A98" s="308">
        <v>18</v>
      </c>
      <c r="B98" s="28" t="s">
        <v>45</v>
      </c>
      <c r="C98" s="36"/>
      <c r="D98" s="40"/>
      <c r="E98" s="11"/>
      <c r="F98" s="11"/>
      <c r="G98" s="11" t="s">
        <v>21</v>
      </c>
      <c r="H98" s="112"/>
      <c r="I98" s="11">
        <v>1</v>
      </c>
      <c r="J98" s="19">
        <v>175000</v>
      </c>
      <c r="K98" s="53">
        <f t="shared" si="7"/>
        <v>0</v>
      </c>
      <c r="L98" s="51" t="s">
        <v>46</v>
      </c>
      <c r="M98" s="137"/>
    </row>
    <row r="99" spans="1:13" s="3" customFormat="1" ht="114" customHeight="1">
      <c r="A99" s="308"/>
      <c r="B99" s="28" t="s">
        <v>111</v>
      </c>
      <c r="C99" s="36"/>
      <c r="D99" s="40"/>
      <c r="E99" s="11"/>
      <c r="F99" s="11"/>
      <c r="G99" s="11" t="s">
        <v>21</v>
      </c>
      <c r="H99" s="31">
        <f>SUM(H100:H103)</f>
        <v>0</v>
      </c>
      <c r="I99" s="11">
        <v>1</v>
      </c>
      <c r="J99" s="19">
        <v>160000</v>
      </c>
      <c r="K99" s="53">
        <f t="shared" si="7"/>
        <v>0</v>
      </c>
      <c r="L99" s="51" t="s">
        <v>77</v>
      </c>
      <c r="M99" s="102"/>
    </row>
    <row r="100" spans="1:13" s="3" customFormat="1" ht="43.5" hidden="1" customHeight="1" outlineLevel="1">
      <c r="A100" s="308"/>
      <c r="B100" s="52"/>
      <c r="C100" s="29"/>
      <c r="D100" s="30"/>
      <c r="E100" s="30"/>
      <c r="F100" s="30"/>
      <c r="G100" s="33" t="s">
        <v>21</v>
      </c>
      <c r="H100" s="114">
        <f>D100/1000*F100/1000</f>
        <v>0</v>
      </c>
      <c r="I100" s="11"/>
      <c r="J100" s="19"/>
      <c r="K100" s="53"/>
      <c r="L100" s="51"/>
      <c r="M100" s="102"/>
    </row>
    <row r="101" spans="1:13" s="3" customFormat="1" ht="43.5" hidden="1" customHeight="1" outlineLevel="1">
      <c r="A101" s="308"/>
      <c r="B101" s="309" t="s">
        <v>293</v>
      </c>
      <c r="C101" s="95"/>
      <c r="D101" s="68"/>
      <c r="E101" s="68"/>
      <c r="F101" s="68"/>
      <c r="G101" s="69" t="s">
        <v>21</v>
      </c>
      <c r="H101" s="115">
        <f t="shared" ref="H101" si="18">-D101/1000*F101/1000</f>
        <v>0</v>
      </c>
      <c r="I101" s="11"/>
      <c r="J101" s="19"/>
      <c r="K101" s="53"/>
      <c r="L101" s="70"/>
      <c r="M101" s="102"/>
    </row>
    <row r="102" spans="1:13" s="3" customFormat="1" ht="43.5" hidden="1" customHeight="1" outlineLevel="1">
      <c r="A102" s="308"/>
      <c r="B102" s="65"/>
      <c r="C102" s="131"/>
      <c r="D102" s="30"/>
      <c r="E102" s="68"/>
      <c r="F102" s="30"/>
      <c r="G102" s="33" t="s">
        <v>21</v>
      </c>
      <c r="H102" s="114">
        <f>D102/1000*F102/1000</f>
        <v>0</v>
      </c>
      <c r="I102" s="11"/>
      <c r="J102" s="19"/>
      <c r="K102" s="53"/>
      <c r="L102" s="70"/>
      <c r="M102" s="102"/>
    </row>
    <row r="103" spans="1:13" s="3" customFormat="1" ht="43.5" hidden="1" customHeight="1" outlineLevel="1">
      <c r="A103" s="308"/>
      <c r="B103" s="309" t="s">
        <v>293</v>
      </c>
      <c r="C103" s="95"/>
      <c r="D103" s="68"/>
      <c r="E103" s="68"/>
      <c r="F103" s="68"/>
      <c r="G103" s="69" t="s">
        <v>21</v>
      </c>
      <c r="H103" s="115">
        <f t="shared" ref="H103" si="19">-D103/1000*F103/1000</f>
        <v>0</v>
      </c>
      <c r="I103" s="11"/>
      <c r="J103" s="19"/>
      <c r="K103" s="53"/>
      <c r="L103" s="70"/>
      <c r="M103" s="108"/>
    </row>
    <row r="104" spans="1:13" s="3" customFormat="1" ht="81" customHeight="1" collapsed="1">
      <c r="A104" s="243">
        <v>19</v>
      </c>
      <c r="B104" s="28" t="s">
        <v>295</v>
      </c>
      <c r="C104" s="36"/>
      <c r="D104" s="40"/>
      <c r="E104" s="11"/>
      <c r="F104" s="11"/>
      <c r="G104" s="11" t="s">
        <v>21</v>
      </c>
      <c r="H104" s="31">
        <f>SUM(H105:H108)</f>
        <v>0</v>
      </c>
      <c r="I104" s="11">
        <v>1</v>
      </c>
      <c r="J104" s="19">
        <v>190000</v>
      </c>
      <c r="K104" s="19">
        <f t="shared" ref="K104" si="20">J104*I104*H104</f>
        <v>0</v>
      </c>
      <c r="L104" s="61" t="s">
        <v>95</v>
      </c>
      <c r="M104" s="108"/>
    </row>
    <row r="105" spans="1:13" s="3" customFormat="1" ht="43.5" hidden="1" customHeight="1" outlineLevel="1">
      <c r="A105" s="247"/>
      <c r="B105" s="65"/>
      <c r="C105" s="29"/>
      <c r="D105" s="30"/>
      <c r="E105" s="30"/>
      <c r="F105" s="30"/>
      <c r="G105" s="33" t="s">
        <v>21</v>
      </c>
      <c r="H105" s="114">
        <f>D105/1000*F105/1000</f>
        <v>0</v>
      </c>
      <c r="I105" s="11"/>
      <c r="J105" s="19"/>
      <c r="K105" s="53"/>
      <c r="L105" s="70"/>
      <c r="M105" s="108"/>
    </row>
    <row r="106" spans="1:13" s="3" customFormat="1" ht="43.5" hidden="1" customHeight="1" outlineLevel="1">
      <c r="A106" s="248"/>
      <c r="B106" s="309" t="s">
        <v>293</v>
      </c>
      <c r="C106" s="95"/>
      <c r="D106" s="68"/>
      <c r="E106" s="68"/>
      <c r="F106" s="68"/>
      <c r="G106" s="69" t="s">
        <v>21</v>
      </c>
      <c r="H106" s="115">
        <f t="shared" ref="H106" si="21">-D106/1000*F106/1000</f>
        <v>0</v>
      </c>
      <c r="I106" s="11"/>
      <c r="J106" s="19"/>
      <c r="K106" s="53"/>
      <c r="L106" s="70"/>
      <c r="M106" s="108"/>
    </row>
    <row r="107" spans="1:13" s="20" customFormat="1" ht="48.75" customHeight="1" collapsed="1">
      <c r="A107" s="41" t="s">
        <v>94</v>
      </c>
      <c r="B107" s="252" t="s">
        <v>113</v>
      </c>
      <c r="C107" s="252"/>
      <c r="D107" s="252"/>
      <c r="E107" s="252"/>
      <c r="F107" s="252"/>
      <c r="G107" s="252"/>
      <c r="H107" s="252"/>
      <c r="I107" s="252"/>
      <c r="J107" s="252"/>
      <c r="K107" s="58">
        <f>SUM(K108:K170)</f>
        <v>0</v>
      </c>
      <c r="L107" s="59"/>
      <c r="M107" s="101"/>
    </row>
    <row r="108" spans="1:13" s="23" customFormat="1" ht="81.75" customHeight="1">
      <c r="A108" s="15">
        <v>1</v>
      </c>
      <c r="B108" s="28" t="s">
        <v>296</v>
      </c>
      <c r="C108" s="42"/>
      <c r="D108" s="36"/>
      <c r="E108" s="36"/>
      <c r="F108" s="36"/>
      <c r="G108" s="11" t="s">
        <v>21</v>
      </c>
      <c r="H108" s="43"/>
      <c r="I108" s="11">
        <v>1</v>
      </c>
      <c r="J108" s="19">
        <v>205000</v>
      </c>
      <c r="K108" s="19">
        <f>J108*I108*H108</f>
        <v>0</v>
      </c>
      <c r="L108" s="60" t="s">
        <v>297</v>
      </c>
      <c r="M108" s="102"/>
    </row>
    <row r="109" spans="1:13" s="3" customFormat="1" ht="109.5" customHeight="1">
      <c r="A109" s="11">
        <v>2</v>
      </c>
      <c r="B109" s="12" t="s">
        <v>298</v>
      </c>
      <c r="C109" s="28"/>
      <c r="D109" s="36"/>
      <c r="E109" s="36"/>
      <c r="F109" s="36"/>
      <c r="G109" s="11" t="s">
        <v>21</v>
      </c>
      <c r="H109" s="31">
        <f>SUM(H110:H117)</f>
        <v>0</v>
      </c>
      <c r="I109" s="11">
        <v>1</v>
      </c>
      <c r="J109" s="19">
        <v>360000</v>
      </c>
      <c r="K109" s="19">
        <f t="shared" ref="K109:K157" si="22">J109*I109*H109</f>
        <v>0</v>
      </c>
      <c r="L109" s="56" t="s">
        <v>32</v>
      </c>
      <c r="M109" s="102"/>
    </row>
    <row r="110" spans="1:13" s="3" customFormat="1" ht="51" hidden="1" customHeight="1" outlineLevel="1">
      <c r="A110" s="247"/>
      <c r="B110" s="52"/>
      <c r="C110" s="52"/>
      <c r="D110" s="30"/>
      <c r="E110" s="30"/>
      <c r="F110" s="30"/>
      <c r="G110" s="33" t="s">
        <v>21</v>
      </c>
      <c r="H110" s="114">
        <f>D110/1000*F110/1000</f>
        <v>0</v>
      </c>
      <c r="I110" s="11"/>
      <c r="J110" s="19"/>
      <c r="K110" s="19"/>
      <c r="L110" s="56"/>
      <c r="M110" s="102"/>
    </row>
    <row r="111" spans="1:13" s="3" customFormat="1" ht="51" hidden="1" customHeight="1" outlineLevel="1">
      <c r="A111" s="249"/>
      <c r="B111" s="309" t="s">
        <v>293</v>
      </c>
      <c r="C111" s="52"/>
      <c r="D111" s="68"/>
      <c r="E111" s="68"/>
      <c r="F111" s="68"/>
      <c r="G111" s="69" t="s">
        <v>21</v>
      </c>
      <c r="H111" s="115">
        <f t="shared" ref="H111" si="23">-D111/1000*F111/1000</f>
        <v>0</v>
      </c>
      <c r="I111" s="11"/>
      <c r="J111" s="19"/>
      <c r="K111" s="19"/>
      <c r="L111" s="56"/>
      <c r="M111" s="102"/>
    </row>
    <row r="112" spans="1:13" s="3" customFormat="1" ht="51" hidden="1" customHeight="1" outlineLevel="1">
      <c r="A112" s="249"/>
      <c r="B112" s="52"/>
      <c r="C112" s="52"/>
      <c r="D112" s="30"/>
      <c r="E112" s="30"/>
      <c r="F112" s="30"/>
      <c r="G112" s="33" t="s">
        <v>21</v>
      </c>
      <c r="H112" s="114">
        <f t="shared" ref="H112:H116" si="24">D112/1000*F112/1000</f>
        <v>0</v>
      </c>
      <c r="I112" s="11"/>
      <c r="J112" s="19"/>
      <c r="K112" s="19"/>
      <c r="L112" s="56"/>
      <c r="M112" s="102"/>
    </row>
    <row r="113" spans="1:13" s="3" customFormat="1" ht="51" hidden="1" customHeight="1" outlineLevel="1">
      <c r="A113" s="249"/>
      <c r="B113" s="52"/>
      <c r="C113" s="52"/>
      <c r="D113" s="30"/>
      <c r="E113" s="30"/>
      <c r="F113" s="30"/>
      <c r="G113" s="33" t="s">
        <v>21</v>
      </c>
      <c r="H113" s="114">
        <f t="shared" si="24"/>
        <v>0</v>
      </c>
      <c r="I113" s="11"/>
      <c r="J113" s="19"/>
      <c r="K113" s="19"/>
      <c r="L113" s="56"/>
      <c r="M113" s="102"/>
    </row>
    <row r="114" spans="1:13" s="3" customFormat="1" ht="51" hidden="1" customHeight="1" outlineLevel="1">
      <c r="A114" s="249"/>
      <c r="B114" s="309" t="s">
        <v>293</v>
      </c>
      <c r="C114" s="52"/>
      <c r="D114" s="68"/>
      <c r="E114" s="68"/>
      <c r="F114" s="68"/>
      <c r="G114" s="69" t="s">
        <v>21</v>
      </c>
      <c r="H114" s="115">
        <f t="shared" ref="H114" si="25">-D114/1000*F114/1000</f>
        <v>0</v>
      </c>
      <c r="I114" s="11"/>
      <c r="J114" s="19"/>
      <c r="K114" s="19"/>
      <c r="L114" s="56"/>
      <c r="M114" s="102"/>
    </row>
    <row r="115" spans="1:13" s="3" customFormat="1" ht="51" hidden="1" customHeight="1" outlineLevel="1">
      <c r="A115" s="249"/>
      <c r="B115" s="52"/>
      <c r="C115" s="52"/>
      <c r="D115" s="30"/>
      <c r="E115" s="30"/>
      <c r="F115" s="30"/>
      <c r="G115" s="33" t="s">
        <v>21</v>
      </c>
      <c r="H115" s="114">
        <f t="shared" si="24"/>
        <v>0</v>
      </c>
      <c r="I115" s="11"/>
      <c r="J115" s="19"/>
      <c r="K115" s="19"/>
      <c r="L115" s="56"/>
      <c r="M115" s="102"/>
    </row>
    <row r="116" spans="1:13" s="3" customFormat="1" ht="51" hidden="1" customHeight="1" outlineLevel="1">
      <c r="A116" s="249"/>
      <c r="B116" s="52"/>
      <c r="C116" s="52"/>
      <c r="D116" s="30"/>
      <c r="E116" s="30"/>
      <c r="F116" s="30"/>
      <c r="G116" s="33" t="s">
        <v>21</v>
      </c>
      <c r="H116" s="114">
        <f t="shared" si="24"/>
        <v>0</v>
      </c>
      <c r="I116" s="11"/>
      <c r="J116" s="19"/>
      <c r="K116" s="19"/>
      <c r="L116" s="56"/>
      <c r="M116" s="102"/>
    </row>
    <row r="117" spans="1:13" s="3" customFormat="1" ht="51" hidden="1" customHeight="1" outlineLevel="1">
      <c r="A117" s="248"/>
      <c r="B117" s="309" t="s">
        <v>293</v>
      </c>
      <c r="C117" s="52"/>
      <c r="D117" s="68"/>
      <c r="E117" s="68"/>
      <c r="F117" s="68"/>
      <c r="G117" s="69" t="s">
        <v>21</v>
      </c>
      <c r="H117" s="115">
        <f t="shared" ref="H117" si="26">-D117/1000*F117/1000</f>
        <v>0</v>
      </c>
      <c r="I117" s="11"/>
      <c r="J117" s="19"/>
      <c r="K117" s="19"/>
      <c r="L117" s="56"/>
      <c r="M117" s="102"/>
    </row>
    <row r="118" spans="1:13" s="3" customFormat="1" ht="72.75" customHeight="1" collapsed="1">
      <c r="A118" s="11">
        <v>3</v>
      </c>
      <c r="B118" s="12" t="s">
        <v>299</v>
      </c>
      <c r="C118" s="28"/>
      <c r="D118" s="36"/>
      <c r="E118" s="36"/>
      <c r="F118" s="36"/>
      <c r="G118" s="11" t="s">
        <v>21</v>
      </c>
      <c r="H118" s="31">
        <f>SUM(H119:H123)</f>
        <v>0</v>
      </c>
      <c r="I118" s="11">
        <v>1</v>
      </c>
      <c r="J118" s="19">
        <v>720000</v>
      </c>
      <c r="K118" s="19">
        <f t="shared" ref="K118" si="27">J118*I118*H118</f>
        <v>0</v>
      </c>
      <c r="L118" s="56" t="s">
        <v>32</v>
      </c>
      <c r="M118" s="102"/>
    </row>
    <row r="119" spans="1:13" s="3" customFormat="1" ht="51" hidden="1" customHeight="1" outlineLevel="1">
      <c r="A119" s="247"/>
      <c r="B119" s="52"/>
      <c r="C119" s="52"/>
      <c r="D119" s="30"/>
      <c r="E119" s="30"/>
      <c r="F119" s="30"/>
      <c r="G119" s="33" t="s">
        <v>21</v>
      </c>
      <c r="H119" s="114">
        <f t="shared" ref="H119" si="28">D119/1000*F119/1000</f>
        <v>0</v>
      </c>
      <c r="I119" s="11"/>
      <c r="J119" s="19"/>
      <c r="K119" s="19"/>
      <c r="L119" s="56"/>
      <c r="M119" s="102"/>
    </row>
    <row r="120" spans="1:13" s="3" customFormat="1" ht="51" hidden="1" customHeight="1" outlineLevel="1">
      <c r="A120" s="249"/>
      <c r="B120" s="309" t="s">
        <v>293</v>
      </c>
      <c r="C120" s="52"/>
      <c r="D120" s="68"/>
      <c r="E120" s="68"/>
      <c r="F120" s="68"/>
      <c r="G120" s="69" t="s">
        <v>21</v>
      </c>
      <c r="H120" s="115">
        <f t="shared" ref="H120" si="29">-D120/1000*F120/1000</f>
        <v>0</v>
      </c>
      <c r="I120" s="11"/>
      <c r="J120" s="19"/>
      <c r="K120" s="19"/>
      <c r="L120" s="56"/>
      <c r="M120" s="102"/>
    </row>
    <row r="121" spans="1:13" s="3" customFormat="1" ht="51" hidden="1" customHeight="1" outlineLevel="1">
      <c r="A121" s="249"/>
      <c r="B121" s="52"/>
      <c r="C121" s="52"/>
      <c r="D121" s="30"/>
      <c r="E121" s="30"/>
      <c r="F121" s="30"/>
      <c r="G121" s="33" t="s">
        <v>21</v>
      </c>
      <c r="H121" s="114">
        <f t="shared" ref="H121:H122" si="30">D121/1000*F121/1000</f>
        <v>0</v>
      </c>
      <c r="I121" s="11"/>
      <c r="J121" s="19"/>
      <c r="K121" s="19"/>
      <c r="L121" s="56"/>
      <c r="M121" s="102"/>
    </row>
    <row r="122" spans="1:13" s="3" customFormat="1" ht="51" hidden="1" customHeight="1" outlineLevel="1">
      <c r="A122" s="249"/>
      <c r="B122" s="52"/>
      <c r="C122" s="52"/>
      <c r="D122" s="30"/>
      <c r="E122" s="30"/>
      <c r="F122" s="30"/>
      <c r="G122" s="33" t="s">
        <v>21</v>
      </c>
      <c r="H122" s="114">
        <f t="shared" si="30"/>
        <v>0</v>
      </c>
      <c r="I122" s="11"/>
      <c r="J122" s="19"/>
      <c r="K122" s="19"/>
      <c r="L122" s="56"/>
      <c r="M122" s="102"/>
    </row>
    <row r="123" spans="1:13" s="3" customFormat="1" ht="51" hidden="1" customHeight="1" outlineLevel="1">
      <c r="A123" s="248"/>
      <c r="B123" s="309" t="s">
        <v>293</v>
      </c>
      <c r="C123" s="52"/>
      <c r="D123" s="68"/>
      <c r="E123" s="68"/>
      <c r="F123" s="68"/>
      <c r="G123" s="69" t="s">
        <v>21</v>
      </c>
      <c r="H123" s="115">
        <f t="shared" ref="H123" si="31">-D123/1000*F123/1000</f>
        <v>0</v>
      </c>
      <c r="I123" s="11"/>
      <c r="J123" s="19"/>
      <c r="K123" s="19"/>
      <c r="L123" s="56"/>
      <c r="M123" s="102"/>
    </row>
    <row r="124" spans="1:13" s="24" customFormat="1" ht="77.25" customHeight="1" collapsed="1">
      <c r="A124" s="11">
        <v>4</v>
      </c>
      <c r="B124" s="28" t="s">
        <v>83</v>
      </c>
      <c r="C124" s="29"/>
      <c r="D124" s="17"/>
      <c r="E124" s="30"/>
      <c r="F124" s="30"/>
      <c r="G124" s="11" t="s">
        <v>21</v>
      </c>
      <c r="H124" s="112"/>
      <c r="I124" s="11">
        <v>1</v>
      </c>
      <c r="J124" s="19">
        <v>205000</v>
      </c>
      <c r="K124" s="19">
        <f t="shared" si="22"/>
        <v>0</v>
      </c>
      <c r="L124" s="60" t="s">
        <v>31</v>
      </c>
      <c r="M124" s="106"/>
    </row>
    <row r="125" spans="1:13" s="168" customFormat="1" ht="68.25" customHeight="1">
      <c r="A125" s="11">
        <v>5</v>
      </c>
      <c r="B125" s="62" t="s">
        <v>128</v>
      </c>
      <c r="C125" s="167"/>
      <c r="D125" s="44"/>
      <c r="E125" s="44"/>
      <c r="F125" s="44"/>
      <c r="G125" s="55" t="s">
        <v>37</v>
      </c>
      <c r="H125" s="113">
        <f>F125/1000</f>
        <v>0</v>
      </c>
      <c r="I125" s="55">
        <v>1</v>
      </c>
      <c r="J125" s="53">
        <f>360000+205000</f>
        <v>565000</v>
      </c>
      <c r="K125" s="19">
        <f t="shared" si="22"/>
        <v>0</v>
      </c>
      <c r="L125" s="71" t="s">
        <v>32</v>
      </c>
      <c r="M125" s="102"/>
    </row>
    <row r="126" spans="1:13" s="168" customFormat="1" ht="79.5" customHeight="1">
      <c r="A126" s="11">
        <v>6</v>
      </c>
      <c r="B126" s="62" t="s">
        <v>217</v>
      </c>
      <c r="C126" s="193"/>
      <c r="D126" s="44"/>
      <c r="E126" s="44"/>
      <c r="F126" s="44"/>
      <c r="G126" s="55" t="s">
        <v>138</v>
      </c>
      <c r="H126" s="113">
        <v>1</v>
      </c>
      <c r="I126" s="55"/>
      <c r="J126" s="53">
        <v>1500000</v>
      </c>
      <c r="K126" s="19">
        <f t="shared" ref="K126" si="32">J126*I126*H126</f>
        <v>0</v>
      </c>
      <c r="L126" s="71" t="s">
        <v>139</v>
      </c>
      <c r="M126" s="102"/>
    </row>
    <row r="127" spans="1:13" s="3" customFormat="1" ht="66.75" customHeight="1">
      <c r="A127" s="298">
        <v>7</v>
      </c>
      <c r="B127" s="62" t="s">
        <v>129</v>
      </c>
      <c r="C127" s="62"/>
      <c r="D127" s="44"/>
      <c r="E127" s="44"/>
      <c r="F127" s="44"/>
      <c r="G127" s="55" t="s">
        <v>20</v>
      </c>
      <c r="H127" s="113">
        <v>1</v>
      </c>
      <c r="I127" s="55"/>
      <c r="J127" s="53">
        <v>3200000</v>
      </c>
      <c r="K127" s="19">
        <f t="shared" si="22"/>
        <v>0</v>
      </c>
      <c r="L127" s="71" t="s">
        <v>85</v>
      </c>
      <c r="M127" s="102"/>
    </row>
    <row r="128" spans="1:13" s="3" customFormat="1" ht="59.25" customHeight="1">
      <c r="A128" s="299"/>
      <c r="B128" s="62" t="s">
        <v>218</v>
      </c>
      <c r="C128" s="62"/>
      <c r="D128" s="44"/>
      <c r="E128" s="44"/>
      <c r="F128" s="44"/>
      <c r="G128" s="55" t="s">
        <v>20</v>
      </c>
      <c r="H128" s="113">
        <v>1</v>
      </c>
      <c r="I128" s="55"/>
      <c r="J128" s="53">
        <v>3200000</v>
      </c>
      <c r="K128" s="19">
        <f t="shared" si="22"/>
        <v>0</v>
      </c>
      <c r="L128" s="71" t="s">
        <v>85</v>
      </c>
      <c r="M128" s="102"/>
    </row>
    <row r="129" spans="1:14" s="3" customFormat="1" ht="77.25" customHeight="1">
      <c r="A129" s="35">
        <v>8</v>
      </c>
      <c r="B129" s="28" t="s">
        <v>300</v>
      </c>
      <c r="C129" s="28"/>
      <c r="D129" s="36"/>
      <c r="E129" s="36"/>
      <c r="F129" s="36"/>
      <c r="G129" s="11" t="s">
        <v>21</v>
      </c>
      <c r="H129" s="112"/>
      <c r="I129" s="11">
        <v>1</v>
      </c>
      <c r="J129" s="19">
        <v>260000</v>
      </c>
      <c r="K129" s="19">
        <f t="shared" si="22"/>
        <v>0</v>
      </c>
      <c r="L129" s="51" t="s">
        <v>33</v>
      </c>
      <c r="M129" s="101"/>
      <c r="N129" s="24"/>
    </row>
    <row r="130" spans="1:14" s="23" customFormat="1" ht="67.5" customHeight="1">
      <c r="A130" s="247">
        <v>9</v>
      </c>
      <c r="B130" s="28" t="s">
        <v>93</v>
      </c>
      <c r="C130" s="28"/>
      <c r="D130" s="44"/>
      <c r="E130" s="44"/>
      <c r="F130" s="44"/>
      <c r="G130" s="11" t="s">
        <v>21</v>
      </c>
      <c r="H130" s="112"/>
      <c r="I130" s="11">
        <v>1</v>
      </c>
      <c r="J130" s="19">
        <v>290000</v>
      </c>
      <c r="K130" s="19">
        <f t="shared" si="22"/>
        <v>0</v>
      </c>
      <c r="L130" s="51" t="s">
        <v>34</v>
      </c>
      <c r="M130" s="101"/>
      <c r="N130" s="24"/>
    </row>
    <row r="131" spans="1:14" s="23" customFormat="1" ht="75" customHeight="1">
      <c r="A131" s="249"/>
      <c r="B131" s="28" t="s">
        <v>220</v>
      </c>
      <c r="C131" s="28"/>
      <c r="D131" s="44"/>
      <c r="E131" s="44"/>
      <c r="F131" s="44"/>
      <c r="G131" s="11" t="s">
        <v>21</v>
      </c>
      <c r="H131" s="112"/>
      <c r="I131" s="15">
        <v>1</v>
      </c>
      <c r="J131" s="19">
        <v>300000</v>
      </c>
      <c r="K131" s="19">
        <f t="shared" ref="K131" si="33">J131*I131*H131</f>
        <v>0</v>
      </c>
      <c r="L131" s="61" t="s">
        <v>90</v>
      </c>
      <c r="M131" s="101"/>
      <c r="N131" s="24"/>
    </row>
    <row r="132" spans="1:14" s="23" customFormat="1" ht="75" customHeight="1">
      <c r="A132" s="249"/>
      <c r="B132" s="28" t="s">
        <v>130</v>
      </c>
      <c r="C132" s="111"/>
      <c r="D132" s="36"/>
      <c r="E132" s="36"/>
      <c r="F132" s="36"/>
      <c r="G132" s="11" t="s">
        <v>21</v>
      </c>
      <c r="H132" s="112"/>
      <c r="I132" s="15">
        <v>1</v>
      </c>
      <c r="J132" s="19">
        <v>300000</v>
      </c>
      <c r="K132" s="19">
        <f t="shared" si="22"/>
        <v>0</v>
      </c>
      <c r="L132" s="61" t="s">
        <v>89</v>
      </c>
      <c r="M132" s="102"/>
      <c r="N132" s="24"/>
    </row>
    <row r="133" spans="1:14" s="23" customFormat="1" ht="75" customHeight="1">
      <c r="A133" s="249"/>
      <c r="B133" s="28" t="s">
        <v>131</v>
      </c>
      <c r="C133" s="111"/>
      <c r="D133" s="36"/>
      <c r="E133" s="36"/>
      <c r="F133" s="36"/>
      <c r="G133" s="11" t="s">
        <v>21</v>
      </c>
      <c r="H133" s="112"/>
      <c r="I133" s="15">
        <v>1</v>
      </c>
      <c r="J133" s="19">
        <v>300000</v>
      </c>
      <c r="K133" s="19">
        <f t="shared" si="22"/>
        <v>0</v>
      </c>
      <c r="L133" s="61" t="s">
        <v>89</v>
      </c>
      <c r="M133" s="101"/>
    </row>
    <row r="134" spans="1:14" s="23" customFormat="1" ht="75" customHeight="1">
      <c r="A134" s="248"/>
      <c r="B134" s="28" t="s">
        <v>221</v>
      </c>
      <c r="C134" s="111"/>
      <c r="D134" s="36"/>
      <c r="E134" s="36"/>
      <c r="F134" s="36"/>
      <c r="G134" s="11" t="s">
        <v>21</v>
      </c>
      <c r="H134" s="112"/>
      <c r="I134" s="15">
        <v>1</v>
      </c>
      <c r="J134" s="19">
        <v>300000</v>
      </c>
      <c r="K134" s="19">
        <f t="shared" si="22"/>
        <v>0</v>
      </c>
      <c r="L134" s="61" t="s">
        <v>89</v>
      </c>
      <c r="M134" s="101"/>
    </row>
    <row r="135" spans="1:14" s="3" customFormat="1" ht="69.75" customHeight="1">
      <c r="A135" s="247">
        <v>10</v>
      </c>
      <c r="B135" s="28" t="s">
        <v>76</v>
      </c>
      <c r="C135" s="45"/>
      <c r="D135" s="36"/>
      <c r="E135" s="36"/>
      <c r="F135" s="36"/>
      <c r="G135" s="11" t="s">
        <v>21</v>
      </c>
      <c r="H135" s="112"/>
      <c r="I135" s="11">
        <v>1</v>
      </c>
      <c r="J135" s="19">
        <v>320000</v>
      </c>
      <c r="K135" s="19">
        <f t="shared" si="22"/>
        <v>0</v>
      </c>
      <c r="L135" s="51" t="s">
        <v>35</v>
      </c>
      <c r="M135" s="102"/>
    </row>
    <row r="136" spans="1:14" s="3" customFormat="1" ht="78.75" customHeight="1">
      <c r="A136" s="249"/>
      <c r="B136" s="28" t="s">
        <v>133</v>
      </c>
      <c r="C136" s="111"/>
      <c r="D136" s="36"/>
      <c r="E136" s="36"/>
      <c r="F136" s="36"/>
      <c r="G136" s="11" t="s">
        <v>21</v>
      </c>
      <c r="H136" s="112"/>
      <c r="I136" s="15">
        <v>1</v>
      </c>
      <c r="J136" s="19">
        <v>300000</v>
      </c>
      <c r="K136" s="19">
        <f t="shared" si="22"/>
        <v>0</v>
      </c>
      <c r="L136" s="61" t="s">
        <v>89</v>
      </c>
      <c r="M136" s="101"/>
    </row>
    <row r="137" spans="1:14" s="23" customFormat="1" ht="93" customHeight="1">
      <c r="A137" s="248"/>
      <c r="B137" s="28" t="s">
        <v>132</v>
      </c>
      <c r="C137" s="111"/>
      <c r="D137" s="36"/>
      <c r="E137" s="36"/>
      <c r="F137" s="36"/>
      <c r="G137" s="11" t="s">
        <v>21</v>
      </c>
      <c r="H137" s="112"/>
      <c r="I137" s="15">
        <v>1</v>
      </c>
      <c r="J137" s="19">
        <v>300000</v>
      </c>
      <c r="K137" s="19">
        <f t="shared" si="22"/>
        <v>0</v>
      </c>
      <c r="L137" s="61" t="s">
        <v>89</v>
      </c>
      <c r="M137" s="101"/>
    </row>
    <row r="138" spans="1:14" s="3" customFormat="1" ht="111.75" customHeight="1">
      <c r="A138" s="64">
        <v>11</v>
      </c>
      <c r="B138" s="28" t="s">
        <v>136</v>
      </c>
      <c r="C138" s="28"/>
      <c r="D138" s="36"/>
      <c r="E138" s="40"/>
      <c r="F138" s="11"/>
      <c r="G138" s="11" t="s">
        <v>37</v>
      </c>
      <c r="H138" s="31">
        <f>SUM(H139:H141)</f>
        <v>0</v>
      </c>
      <c r="I138" s="11">
        <v>1</v>
      </c>
      <c r="J138" s="19">
        <v>150000</v>
      </c>
      <c r="K138" s="19">
        <f t="shared" ref="K138" si="34">J138*I138*H138</f>
        <v>0</v>
      </c>
      <c r="L138" s="51" t="s">
        <v>38</v>
      </c>
      <c r="M138" s="107"/>
    </row>
    <row r="139" spans="1:14" s="25" customFormat="1" ht="47.25" hidden="1" customHeight="1" outlineLevel="1">
      <c r="A139" s="258"/>
      <c r="B139" s="29"/>
      <c r="C139" s="29"/>
      <c r="D139" s="30"/>
      <c r="E139" s="65"/>
      <c r="F139" s="33"/>
      <c r="G139" s="33" t="s">
        <v>37</v>
      </c>
      <c r="H139" s="114">
        <f t="shared" ref="H139:H141" si="35">D139/1000*1.1</f>
        <v>0</v>
      </c>
      <c r="I139" s="33"/>
      <c r="J139" s="19"/>
      <c r="K139" s="19"/>
      <c r="L139" s="29"/>
      <c r="M139" s="107"/>
    </row>
    <row r="140" spans="1:14" s="25" customFormat="1" ht="47.25" hidden="1" customHeight="1" outlineLevel="1">
      <c r="A140" s="259"/>
      <c r="B140" s="29"/>
      <c r="C140" s="29"/>
      <c r="D140" s="30"/>
      <c r="E140" s="65"/>
      <c r="F140" s="33"/>
      <c r="G140" s="33" t="s">
        <v>37</v>
      </c>
      <c r="H140" s="114">
        <f t="shared" si="35"/>
        <v>0</v>
      </c>
      <c r="I140" s="33"/>
      <c r="J140" s="19"/>
      <c r="K140" s="19"/>
      <c r="L140" s="29"/>
      <c r="M140" s="107"/>
    </row>
    <row r="141" spans="1:14" s="25" customFormat="1" ht="47.25" hidden="1" customHeight="1" outlineLevel="1">
      <c r="A141" s="260"/>
      <c r="B141" s="29"/>
      <c r="C141" s="29"/>
      <c r="D141" s="30"/>
      <c r="E141" s="65"/>
      <c r="F141" s="33"/>
      <c r="G141" s="33" t="s">
        <v>37</v>
      </c>
      <c r="H141" s="114">
        <f t="shared" si="35"/>
        <v>0</v>
      </c>
      <c r="I141" s="33"/>
      <c r="J141" s="19"/>
      <c r="K141" s="19"/>
      <c r="L141" s="29"/>
      <c r="M141" s="107"/>
    </row>
    <row r="142" spans="1:14" s="23" customFormat="1" ht="89.25" customHeight="1" collapsed="1">
      <c r="A142" s="247">
        <v>12</v>
      </c>
      <c r="B142" s="62" t="s">
        <v>134</v>
      </c>
      <c r="C142" s="62"/>
      <c r="D142" s="44"/>
      <c r="E142" s="44"/>
      <c r="F142" s="44"/>
      <c r="G142" s="55" t="s">
        <v>20</v>
      </c>
      <c r="H142" s="63">
        <v>1</v>
      </c>
      <c r="I142" s="55"/>
      <c r="J142" s="19">
        <v>1500000</v>
      </c>
      <c r="K142" s="19">
        <f t="shared" si="22"/>
        <v>0</v>
      </c>
      <c r="L142" s="71" t="s">
        <v>36</v>
      </c>
      <c r="M142" s="102"/>
    </row>
    <row r="143" spans="1:14" s="23" customFormat="1" ht="89.25" customHeight="1">
      <c r="A143" s="248"/>
      <c r="B143" s="62" t="s">
        <v>222</v>
      </c>
      <c r="C143" s="62"/>
      <c r="D143" s="44"/>
      <c r="E143" s="44"/>
      <c r="F143" s="44"/>
      <c r="G143" s="55" t="s">
        <v>20</v>
      </c>
      <c r="H143" s="63">
        <v>1</v>
      </c>
      <c r="I143" s="55"/>
      <c r="J143" s="19">
        <v>4000000</v>
      </c>
      <c r="K143" s="19">
        <f t="shared" ref="K143" si="36">J143*I143*H143</f>
        <v>0</v>
      </c>
      <c r="L143" s="71" t="s">
        <v>36</v>
      </c>
      <c r="M143" s="102"/>
    </row>
    <row r="144" spans="1:14" s="25" customFormat="1" ht="84" customHeight="1">
      <c r="A144" s="258">
        <v>13</v>
      </c>
      <c r="B144" s="62" t="s">
        <v>224</v>
      </c>
      <c r="C144" s="62"/>
      <c r="D144" s="44"/>
      <c r="E144" s="92"/>
      <c r="F144" s="55"/>
      <c r="G144" s="55" t="s">
        <v>21</v>
      </c>
      <c r="H144" s="113"/>
      <c r="I144" s="55">
        <v>1</v>
      </c>
      <c r="J144" s="53">
        <v>435000</v>
      </c>
      <c r="K144" s="19">
        <f t="shared" si="22"/>
        <v>0</v>
      </c>
      <c r="L144" s="71" t="s">
        <v>175</v>
      </c>
      <c r="M144" s="107"/>
    </row>
    <row r="145" spans="1:13" s="25" customFormat="1" ht="84" customHeight="1">
      <c r="A145" s="260"/>
      <c r="B145" s="62" t="s">
        <v>225</v>
      </c>
      <c r="C145" s="62"/>
      <c r="D145" s="44"/>
      <c r="E145" s="92"/>
      <c r="F145" s="55"/>
      <c r="G145" s="55" t="s">
        <v>21</v>
      </c>
      <c r="H145" s="113"/>
      <c r="I145" s="55">
        <v>1</v>
      </c>
      <c r="J145" s="53">
        <v>435000</v>
      </c>
      <c r="K145" s="19">
        <f t="shared" si="22"/>
        <v>0</v>
      </c>
      <c r="L145" s="71" t="s">
        <v>175</v>
      </c>
      <c r="M145" s="107"/>
    </row>
    <row r="146" spans="1:13" s="25" customFormat="1" ht="84" customHeight="1">
      <c r="A146" s="64">
        <v>14</v>
      </c>
      <c r="B146" s="28" t="s">
        <v>176</v>
      </c>
      <c r="C146" s="28"/>
      <c r="D146" s="36"/>
      <c r="E146" s="40"/>
      <c r="F146" s="11"/>
      <c r="G146" s="11" t="s">
        <v>37</v>
      </c>
      <c r="H146" s="112">
        <f>SUM(H147:H148)</f>
        <v>0</v>
      </c>
      <c r="I146" s="11">
        <v>1</v>
      </c>
      <c r="J146" s="19">
        <v>70000</v>
      </c>
      <c r="K146" s="19">
        <f t="shared" si="22"/>
        <v>0</v>
      </c>
      <c r="L146" s="51" t="s">
        <v>177</v>
      </c>
      <c r="M146" s="107"/>
    </row>
    <row r="147" spans="1:13" s="25" customFormat="1" ht="46.5" hidden="1" customHeight="1" outlineLevel="1">
      <c r="A147" s="64"/>
      <c r="B147" s="29" t="s">
        <v>115</v>
      </c>
      <c r="C147" s="29"/>
      <c r="D147" s="30"/>
      <c r="E147" s="65"/>
      <c r="F147" s="33"/>
      <c r="G147" s="33" t="s">
        <v>37</v>
      </c>
      <c r="H147" s="114">
        <f t="shared" ref="H147:H148" si="37">D147/1000*1.1</f>
        <v>0</v>
      </c>
      <c r="I147" s="11"/>
      <c r="J147" s="19"/>
      <c r="K147" s="19">
        <f t="shared" si="22"/>
        <v>0</v>
      </c>
      <c r="L147" s="51"/>
      <c r="M147" s="107"/>
    </row>
    <row r="148" spans="1:13" s="25" customFormat="1" ht="46.5" hidden="1" customHeight="1" outlineLevel="1">
      <c r="A148" s="64"/>
      <c r="B148" s="29" t="s">
        <v>122</v>
      </c>
      <c r="C148" s="29"/>
      <c r="D148" s="30"/>
      <c r="E148" s="65"/>
      <c r="F148" s="33"/>
      <c r="G148" s="33" t="s">
        <v>37</v>
      </c>
      <c r="H148" s="114">
        <f t="shared" si="37"/>
        <v>0</v>
      </c>
      <c r="I148" s="11"/>
      <c r="J148" s="19"/>
      <c r="K148" s="19">
        <f t="shared" si="22"/>
        <v>0</v>
      </c>
      <c r="L148" s="51"/>
      <c r="M148" s="107"/>
    </row>
    <row r="149" spans="1:13" s="25" customFormat="1" ht="102" customHeight="1" collapsed="1">
      <c r="A149" s="11">
        <v>15</v>
      </c>
      <c r="B149" s="28" t="s">
        <v>226</v>
      </c>
      <c r="C149" s="48"/>
      <c r="D149" s="36"/>
      <c r="E149" s="36"/>
      <c r="F149" s="36"/>
      <c r="G149" s="11" t="s">
        <v>21</v>
      </c>
      <c r="H149" s="112">
        <f>SUM(H150:H151)</f>
        <v>0</v>
      </c>
      <c r="I149" s="11">
        <v>1</v>
      </c>
      <c r="J149" s="19">
        <v>295000</v>
      </c>
      <c r="K149" s="19">
        <f t="shared" si="22"/>
        <v>0</v>
      </c>
      <c r="L149" s="56" t="s">
        <v>39</v>
      </c>
      <c r="M149" s="189"/>
    </row>
    <row r="150" spans="1:13" s="25" customFormat="1" ht="54" hidden="1" customHeight="1" outlineLevel="1">
      <c r="A150" s="247"/>
      <c r="B150" s="29"/>
      <c r="C150" s="29"/>
      <c r="D150" s="30"/>
      <c r="E150" s="30"/>
      <c r="F150" s="30"/>
      <c r="G150" s="33" t="s">
        <v>21</v>
      </c>
      <c r="H150" s="114">
        <f>D150/1000*F150/1000</f>
        <v>0</v>
      </c>
      <c r="I150" s="33"/>
      <c r="J150" s="50"/>
      <c r="K150" s="19"/>
      <c r="L150" s="154"/>
      <c r="M150" s="189"/>
    </row>
    <row r="151" spans="1:13" s="25" customFormat="1" ht="54" hidden="1" customHeight="1" outlineLevel="1">
      <c r="A151" s="248"/>
      <c r="B151" s="29"/>
      <c r="C151" s="29"/>
      <c r="D151" s="30"/>
      <c r="E151" s="30"/>
      <c r="F151" s="30"/>
      <c r="G151" s="33" t="s">
        <v>21</v>
      </c>
      <c r="H151" s="114">
        <f>D151/1000*F151/1000</f>
        <v>0</v>
      </c>
      <c r="I151" s="33"/>
      <c r="J151" s="50"/>
      <c r="K151" s="19"/>
      <c r="L151" s="154"/>
      <c r="M151" s="102"/>
    </row>
    <row r="152" spans="1:13" s="23" customFormat="1" ht="69.75" customHeight="1" collapsed="1">
      <c r="A152" s="11">
        <v>16</v>
      </c>
      <c r="B152" s="62" t="s">
        <v>135</v>
      </c>
      <c r="C152" s="125"/>
      <c r="D152" s="44"/>
      <c r="E152" s="92"/>
      <c r="F152" s="55"/>
      <c r="G152" s="55" t="s">
        <v>21</v>
      </c>
      <c r="H152" s="113"/>
      <c r="I152" s="55">
        <v>1</v>
      </c>
      <c r="J152" s="53">
        <v>195000</v>
      </c>
      <c r="K152" s="19">
        <f t="shared" si="22"/>
        <v>0</v>
      </c>
      <c r="L152" s="71" t="s">
        <v>39</v>
      </c>
      <c r="M152" s="101"/>
    </row>
    <row r="153" spans="1:13" s="3" customFormat="1" ht="87.75" customHeight="1">
      <c r="A153" s="247">
        <v>17</v>
      </c>
      <c r="B153" s="28" t="s">
        <v>40</v>
      </c>
      <c r="C153" s="66"/>
      <c r="D153" s="36"/>
      <c r="E153" s="36"/>
      <c r="F153" s="36"/>
      <c r="G153" s="11" t="s">
        <v>20</v>
      </c>
      <c r="H153" s="112">
        <v>1</v>
      </c>
      <c r="I153" s="11"/>
      <c r="J153" s="19">
        <v>1050000</v>
      </c>
      <c r="K153" s="19">
        <f t="shared" si="22"/>
        <v>0</v>
      </c>
      <c r="L153" s="56" t="s">
        <v>41</v>
      </c>
      <c r="M153" s="102"/>
    </row>
    <row r="154" spans="1:13" s="3" customFormat="1" ht="67.5" customHeight="1">
      <c r="A154" s="248"/>
      <c r="B154" s="28" t="s">
        <v>114</v>
      </c>
      <c r="C154" s="67"/>
      <c r="D154" s="36"/>
      <c r="E154" s="40"/>
      <c r="F154" s="11"/>
      <c r="G154" s="11" t="s">
        <v>42</v>
      </c>
      <c r="H154" s="112">
        <v>1</v>
      </c>
      <c r="I154" s="11"/>
      <c r="J154" s="19">
        <v>600000</v>
      </c>
      <c r="K154" s="19">
        <f t="shared" si="22"/>
        <v>0</v>
      </c>
      <c r="L154" s="56" t="s">
        <v>43</v>
      </c>
      <c r="M154" s="101"/>
    </row>
    <row r="155" spans="1:13" s="23" customFormat="1" ht="66.75" customHeight="1">
      <c r="A155" s="11">
        <v>18</v>
      </c>
      <c r="B155" s="62" t="s">
        <v>74</v>
      </c>
      <c r="C155" s="109"/>
      <c r="D155" s="44"/>
      <c r="E155" s="92"/>
      <c r="F155" s="55"/>
      <c r="G155" s="55" t="s">
        <v>21</v>
      </c>
      <c r="H155" s="113"/>
      <c r="I155" s="55">
        <v>1</v>
      </c>
      <c r="J155" s="53">
        <v>35000</v>
      </c>
      <c r="K155" s="19">
        <f t="shared" si="22"/>
        <v>0</v>
      </c>
      <c r="L155" s="62" t="s">
        <v>44</v>
      </c>
      <c r="M155" s="137"/>
    </row>
    <row r="156" spans="1:13" s="23" customFormat="1" ht="101.25" customHeight="1">
      <c r="A156" s="247">
        <v>19</v>
      </c>
      <c r="B156" s="62" t="s">
        <v>45</v>
      </c>
      <c r="C156" s="44"/>
      <c r="D156" s="92"/>
      <c r="E156" s="55"/>
      <c r="F156" s="55"/>
      <c r="G156" s="55" t="s">
        <v>21</v>
      </c>
      <c r="H156" s="113"/>
      <c r="I156" s="55">
        <v>1</v>
      </c>
      <c r="J156" s="53">
        <v>175000</v>
      </c>
      <c r="K156" s="19">
        <f t="shared" si="22"/>
        <v>0</v>
      </c>
      <c r="L156" s="71" t="s">
        <v>46</v>
      </c>
      <c r="M156" s="101"/>
    </row>
    <row r="157" spans="1:13" s="3" customFormat="1" ht="90.75" customHeight="1">
      <c r="A157" s="248"/>
      <c r="B157" s="28" t="s">
        <v>111</v>
      </c>
      <c r="C157" s="36"/>
      <c r="D157" s="40"/>
      <c r="E157" s="11"/>
      <c r="F157" s="11"/>
      <c r="G157" s="11" t="s">
        <v>21</v>
      </c>
      <c r="H157" s="31">
        <f>SUM(H158:H165)</f>
        <v>0</v>
      </c>
      <c r="I157" s="11">
        <v>1</v>
      </c>
      <c r="J157" s="19">
        <v>160000</v>
      </c>
      <c r="K157" s="19">
        <f t="shared" si="22"/>
        <v>0</v>
      </c>
      <c r="L157" s="51" t="s">
        <v>77</v>
      </c>
      <c r="M157" s="102"/>
    </row>
    <row r="158" spans="1:13" s="3" customFormat="1" ht="46.5" hidden="1" customHeight="1" outlineLevel="1">
      <c r="A158" s="247"/>
      <c r="B158" s="52"/>
      <c r="C158" s="32"/>
      <c r="D158" s="30"/>
      <c r="E158" s="30"/>
      <c r="F158" s="30"/>
      <c r="G158" s="33" t="s">
        <v>21</v>
      </c>
      <c r="H158" s="114">
        <f>D158/1000*F158/1000</f>
        <v>0</v>
      </c>
      <c r="I158" s="11"/>
      <c r="J158" s="19"/>
      <c r="K158" s="19"/>
      <c r="L158" s="51"/>
      <c r="M158" s="102"/>
    </row>
    <row r="159" spans="1:13" s="3" customFormat="1" ht="46.5" hidden="1" customHeight="1" outlineLevel="1">
      <c r="A159" s="249"/>
      <c r="B159" s="309" t="s">
        <v>293</v>
      </c>
      <c r="C159" s="95"/>
      <c r="D159" s="68"/>
      <c r="E159" s="68"/>
      <c r="F159" s="68"/>
      <c r="G159" s="69" t="s">
        <v>21</v>
      </c>
      <c r="H159" s="115">
        <f t="shared" ref="H159" si="38">-D159/1000*F159/1000</f>
        <v>0</v>
      </c>
      <c r="I159" s="11"/>
      <c r="J159" s="19"/>
      <c r="K159" s="19"/>
      <c r="L159" s="70"/>
      <c r="M159" s="102"/>
    </row>
    <row r="160" spans="1:13" s="3" customFormat="1" ht="46.5" hidden="1" customHeight="1" outlineLevel="1">
      <c r="A160" s="249"/>
      <c r="B160" s="52"/>
      <c r="C160" s="95"/>
      <c r="D160" s="30"/>
      <c r="E160" s="30"/>
      <c r="F160" s="30"/>
      <c r="G160" s="33" t="s">
        <v>21</v>
      </c>
      <c r="H160" s="114">
        <f>D160/1000*F160/1000</f>
        <v>0</v>
      </c>
      <c r="I160" s="11"/>
      <c r="J160" s="19"/>
      <c r="K160" s="19"/>
      <c r="L160" s="70"/>
      <c r="M160" s="102"/>
    </row>
    <row r="161" spans="1:13" s="3" customFormat="1" ht="46.5" hidden="1" customHeight="1" outlineLevel="1">
      <c r="A161" s="249"/>
      <c r="B161" s="309" t="s">
        <v>293</v>
      </c>
      <c r="C161" s="95"/>
      <c r="D161" s="68"/>
      <c r="E161" s="68"/>
      <c r="F161" s="68"/>
      <c r="G161" s="69" t="s">
        <v>21</v>
      </c>
      <c r="H161" s="115">
        <f t="shared" ref="H161" si="39">-D161/1000*F161/1000</f>
        <v>0</v>
      </c>
      <c r="I161" s="11"/>
      <c r="J161" s="19"/>
      <c r="K161" s="19"/>
      <c r="L161" s="70"/>
      <c r="M161" s="102"/>
    </row>
    <row r="162" spans="1:13" s="3" customFormat="1" ht="46.5" hidden="1" customHeight="1" outlineLevel="1">
      <c r="A162" s="249"/>
      <c r="B162" s="52"/>
      <c r="C162" s="95"/>
      <c r="D162" s="30"/>
      <c r="E162" s="30"/>
      <c r="F162" s="30"/>
      <c r="G162" s="33" t="s">
        <v>21</v>
      </c>
      <c r="H162" s="114">
        <f>D162/1000*F162/1000</f>
        <v>0</v>
      </c>
      <c r="I162" s="11"/>
      <c r="J162" s="19"/>
      <c r="K162" s="19"/>
      <c r="L162" s="70"/>
      <c r="M162" s="102"/>
    </row>
    <row r="163" spans="1:13" s="3" customFormat="1" ht="46.5" hidden="1" customHeight="1" outlineLevel="1">
      <c r="A163" s="249"/>
      <c r="B163" s="309" t="s">
        <v>293</v>
      </c>
      <c r="C163" s="95"/>
      <c r="D163" s="68"/>
      <c r="E163" s="68"/>
      <c r="F163" s="68"/>
      <c r="G163" s="69" t="s">
        <v>21</v>
      </c>
      <c r="H163" s="115">
        <f t="shared" ref="H163" si="40">-D163/1000*F163/1000</f>
        <v>0</v>
      </c>
      <c r="I163" s="11"/>
      <c r="J163" s="19"/>
      <c r="K163" s="19"/>
      <c r="L163" s="70"/>
      <c r="M163" s="102"/>
    </row>
    <row r="164" spans="1:13" s="3" customFormat="1" ht="43.5" hidden="1" customHeight="1" outlineLevel="1">
      <c r="A164" s="249"/>
      <c r="B164" s="52"/>
      <c r="C164" s="131"/>
      <c r="D164" s="30"/>
      <c r="E164" s="68"/>
      <c r="F164" s="30"/>
      <c r="G164" s="33" t="s">
        <v>21</v>
      </c>
      <c r="H164" s="114">
        <f>D164/1000*F164/1000</f>
        <v>0</v>
      </c>
      <c r="I164" s="11"/>
      <c r="J164" s="19"/>
      <c r="K164" s="19"/>
      <c r="L164" s="70"/>
      <c r="M164" s="102"/>
    </row>
    <row r="165" spans="1:13" s="3" customFormat="1" ht="43.5" hidden="1" customHeight="1" outlineLevel="1">
      <c r="A165" s="248"/>
      <c r="B165" s="309" t="s">
        <v>293</v>
      </c>
      <c r="C165" s="95"/>
      <c r="D165" s="68"/>
      <c r="E165" s="68"/>
      <c r="F165" s="68"/>
      <c r="G165" s="69" t="s">
        <v>21</v>
      </c>
      <c r="H165" s="115">
        <f t="shared" ref="H165" si="41">-D165/1000*F165/1000</f>
        <v>0</v>
      </c>
      <c r="I165" s="11"/>
      <c r="J165" s="19"/>
      <c r="K165" s="19"/>
      <c r="L165" s="70"/>
      <c r="M165" s="102"/>
    </row>
    <row r="166" spans="1:13" s="132" customFormat="1" ht="79.5" customHeight="1" collapsed="1">
      <c r="A166" s="11">
        <v>20</v>
      </c>
      <c r="B166" s="28" t="s">
        <v>302</v>
      </c>
      <c r="C166" s="36"/>
      <c r="D166" s="40"/>
      <c r="E166" s="11"/>
      <c r="F166" s="11"/>
      <c r="G166" s="11" t="s">
        <v>21</v>
      </c>
      <c r="H166" s="31">
        <f>SUM(H167:H170)</f>
        <v>0</v>
      </c>
      <c r="I166" s="11">
        <v>1</v>
      </c>
      <c r="J166" s="19">
        <v>190000</v>
      </c>
      <c r="K166" s="19">
        <f t="shared" ref="K166" si="42">J166*I166*H166</f>
        <v>0</v>
      </c>
      <c r="L166" s="61" t="s">
        <v>95</v>
      </c>
      <c r="M166" s="102"/>
    </row>
    <row r="167" spans="1:13" s="132" customFormat="1" ht="39.75" hidden="1" customHeight="1" outlineLevel="1">
      <c r="A167" s="247"/>
      <c r="B167" s="52"/>
      <c r="C167" s="32"/>
      <c r="D167" s="30"/>
      <c r="E167" s="30"/>
      <c r="F167" s="30"/>
      <c r="G167" s="33" t="s">
        <v>21</v>
      </c>
      <c r="H167" s="114">
        <f>D167/1000*F167/1000</f>
        <v>0</v>
      </c>
      <c r="I167" s="55"/>
      <c r="J167" s="53"/>
      <c r="K167" s="19"/>
      <c r="L167" s="71"/>
      <c r="M167" s="102"/>
    </row>
    <row r="168" spans="1:13" s="132" customFormat="1" ht="39.75" hidden="1" customHeight="1" outlineLevel="1">
      <c r="A168" s="249"/>
      <c r="B168" s="52"/>
      <c r="C168" s="52"/>
      <c r="D168" s="30"/>
      <c r="E168" s="30"/>
      <c r="F168" s="30"/>
      <c r="G168" s="33" t="s">
        <v>21</v>
      </c>
      <c r="H168" s="114">
        <f>D168/1000*F168/1000</f>
        <v>0</v>
      </c>
      <c r="I168" s="55"/>
      <c r="J168" s="53"/>
      <c r="K168" s="19"/>
      <c r="L168" s="71"/>
      <c r="M168" s="102"/>
    </row>
    <row r="169" spans="1:13" s="132" customFormat="1" ht="39.75" hidden="1" customHeight="1" outlineLevel="1">
      <c r="A169" s="249"/>
      <c r="B169" s="52"/>
      <c r="C169" s="52"/>
      <c r="D169" s="30"/>
      <c r="E169" s="30"/>
      <c r="F169" s="30"/>
      <c r="G169" s="33" t="s">
        <v>21</v>
      </c>
      <c r="H169" s="114">
        <f>D169/1000*F169/1000</f>
        <v>0</v>
      </c>
      <c r="I169" s="55"/>
      <c r="J169" s="53"/>
      <c r="K169" s="19"/>
      <c r="L169" s="71"/>
      <c r="M169" s="102"/>
    </row>
    <row r="170" spans="1:13" s="132" customFormat="1" ht="39.75" hidden="1" customHeight="1" outlineLevel="1">
      <c r="A170" s="248"/>
      <c r="B170" s="309" t="s">
        <v>293</v>
      </c>
      <c r="C170" s="95"/>
      <c r="D170" s="68"/>
      <c r="E170" s="68"/>
      <c r="F170" s="68"/>
      <c r="G170" s="69" t="s">
        <v>21</v>
      </c>
      <c r="H170" s="115">
        <f t="shared" ref="H170" si="43">-D170/1000*F170/1000</f>
        <v>0</v>
      </c>
      <c r="I170" s="55"/>
      <c r="J170" s="53"/>
      <c r="K170" s="19"/>
      <c r="L170" s="71"/>
      <c r="M170" s="102"/>
    </row>
    <row r="171" spans="1:13" s="20" customFormat="1" ht="48.75" customHeight="1" collapsed="1">
      <c r="A171" s="41" t="s">
        <v>96</v>
      </c>
      <c r="B171" s="264" t="s">
        <v>227</v>
      </c>
      <c r="C171" s="265"/>
      <c r="D171" s="265"/>
      <c r="E171" s="265"/>
      <c r="F171" s="265"/>
      <c r="G171" s="265"/>
      <c r="H171" s="265"/>
      <c r="I171" s="265"/>
      <c r="J171" s="266"/>
      <c r="K171" s="58">
        <f>SUM(K172:K230)</f>
        <v>0</v>
      </c>
      <c r="L171" s="59"/>
      <c r="M171" s="101"/>
    </row>
    <row r="172" spans="1:13" s="23" customFormat="1" ht="81.75" customHeight="1">
      <c r="A172" s="15">
        <v>1</v>
      </c>
      <c r="B172" s="28" t="s">
        <v>296</v>
      </c>
      <c r="C172" s="42"/>
      <c r="D172" s="36"/>
      <c r="E172" s="36"/>
      <c r="F172" s="36"/>
      <c r="G172" s="11" t="s">
        <v>21</v>
      </c>
      <c r="H172" s="43"/>
      <c r="I172" s="11">
        <v>1</v>
      </c>
      <c r="J172" s="19">
        <v>205000</v>
      </c>
      <c r="K172" s="19">
        <f>J172*I172*H172</f>
        <v>0</v>
      </c>
      <c r="L172" s="60" t="s">
        <v>297</v>
      </c>
      <c r="M172" s="102"/>
    </row>
    <row r="173" spans="1:13" s="3" customFormat="1" ht="109.5" customHeight="1">
      <c r="A173" s="11">
        <v>2</v>
      </c>
      <c r="B173" s="12" t="s">
        <v>298</v>
      </c>
      <c r="C173" s="28"/>
      <c r="D173" s="36"/>
      <c r="E173" s="36"/>
      <c r="F173" s="36"/>
      <c r="G173" s="11" t="s">
        <v>21</v>
      </c>
      <c r="H173" s="31">
        <f>SUM(H174:H181)</f>
        <v>0</v>
      </c>
      <c r="I173" s="11">
        <v>1</v>
      </c>
      <c r="J173" s="19">
        <v>360000</v>
      </c>
      <c r="K173" s="19">
        <f t="shared" ref="K173" si="44">J173*I173*H173</f>
        <v>0</v>
      </c>
      <c r="L173" s="56" t="s">
        <v>32</v>
      </c>
      <c r="M173" s="102"/>
    </row>
    <row r="174" spans="1:13" s="3" customFormat="1" ht="51" customHeight="1" outlineLevel="1">
      <c r="A174" s="247"/>
      <c r="B174" s="52"/>
      <c r="C174" s="52"/>
      <c r="D174" s="30"/>
      <c r="E174" s="30"/>
      <c r="F174" s="30"/>
      <c r="G174" s="33" t="s">
        <v>21</v>
      </c>
      <c r="H174" s="114">
        <f>D174/1000*F174/1000</f>
        <v>0</v>
      </c>
      <c r="I174" s="11"/>
      <c r="J174" s="19"/>
      <c r="K174" s="19"/>
      <c r="L174" s="56"/>
      <c r="M174" s="102"/>
    </row>
    <row r="175" spans="1:13" s="3" customFormat="1" ht="51" customHeight="1" outlineLevel="1">
      <c r="A175" s="249"/>
      <c r="B175" s="309" t="s">
        <v>293</v>
      </c>
      <c r="C175" s="52"/>
      <c r="D175" s="68"/>
      <c r="E175" s="68"/>
      <c r="F175" s="68"/>
      <c r="G175" s="69" t="s">
        <v>21</v>
      </c>
      <c r="H175" s="115">
        <f t="shared" ref="H175" si="45">-D175/1000*F175/1000</f>
        <v>0</v>
      </c>
      <c r="I175" s="11"/>
      <c r="J175" s="19"/>
      <c r="K175" s="19"/>
      <c r="L175" s="56"/>
      <c r="M175" s="102"/>
    </row>
    <row r="176" spans="1:13" s="3" customFormat="1" ht="51" customHeight="1" outlineLevel="1">
      <c r="A176" s="249"/>
      <c r="B176" s="52"/>
      <c r="C176" s="52"/>
      <c r="D176" s="30"/>
      <c r="E176" s="30"/>
      <c r="F176" s="30"/>
      <c r="G176" s="33" t="s">
        <v>21</v>
      </c>
      <c r="H176" s="114">
        <f t="shared" ref="H176:H177" si="46">D176/1000*F176/1000</f>
        <v>0</v>
      </c>
      <c r="I176" s="11"/>
      <c r="J176" s="19"/>
      <c r="K176" s="19"/>
      <c r="L176" s="56"/>
      <c r="M176" s="102"/>
    </row>
    <row r="177" spans="1:13" s="3" customFormat="1" ht="51" customHeight="1" outlineLevel="1">
      <c r="A177" s="249"/>
      <c r="B177" s="52"/>
      <c r="C177" s="52"/>
      <c r="D177" s="30"/>
      <c r="E177" s="30"/>
      <c r="F177" s="30"/>
      <c r="G177" s="33" t="s">
        <v>21</v>
      </c>
      <c r="H177" s="114">
        <f t="shared" si="46"/>
        <v>0</v>
      </c>
      <c r="I177" s="11"/>
      <c r="J177" s="19"/>
      <c r="K177" s="19"/>
      <c r="L177" s="56"/>
      <c r="M177" s="102"/>
    </row>
    <row r="178" spans="1:13" s="3" customFormat="1" ht="51" customHeight="1" outlineLevel="1">
      <c r="A178" s="249"/>
      <c r="B178" s="309" t="s">
        <v>293</v>
      </c>
      <c r="C178" s="52"/>
      <c r="D178" s="68"/>
      <c r="E178" s="68"/>
      <c r="F178" s="68"/>
      <c r="G178" s="69" t="s">
        <v>21</v>
      </c>
      <c r="H178" s="115">
        <f t="shared" ref="H178" si="47">-D178/1000*F178/1000</f>
        <v>0</v>
      </c>
      <c r="I178" s="11"/>
      <c r="J178" s="19"/>
      <c r="K178" s="19"/>
      <c r="L178" s="56"/>
      <c r="M178" s="102"/>
    </row>
    <row r="179" spans="1:13" s="3" customFormat="1" ht="51" customHeight="1" outlineLevel="1">
      <c r="A179" s="249"/>
      <c r="B179" s="52"/>
      <c r="C179" s="52"/>
      <c r="D179" s="30"/>
      <c r="E179" s="30"/>
      <c r="F179" s="30"/>
      <c r="G179" s="33" t="s">
        <v>21</v>
      </c>
      <c r="H179" s="114">
        <f t="shared" ref="H179:H180" si="48">D179/1000*F179/1000</f>
        <v>0</v>
      </c>
      <c r="I179" s="11"/>
      <c r="J179" s="19"/>
      <c r="K179" s="19"/>
      <c r="L179" s="56"/>
      <c r="M179" s="102"/>
    </row>
    <row r="180" spans="1:13" s="3" customFormat="1" ht="51" customHeight="1" outlineLevel="1">
      <c r="A180" s="249"/>
      <c r="B180" s="52"/>
      <c r="C180" s="52"/>
      <c r="D180" s="30"/>
      <c r="E180" s="30"/>
      <c r="F180" s="30"/>
      <c r="G180" s="33" t="s">
        <v>21</v>
      </c>
      <c r="H180" s="114">
        <f t="shared" si="48"/>
        <v>0</v>
      </c>
      <c r="I180" s="11"/>
      <c r="J180" s="19"/>
      <c r="K180" s="19"/>
      <c r="L180" s="56"/>
      <c r="M180" s="102"/>
    </row>
    <row r="181" spans="1:13" s="3" customFormat="1" ht="51" customHeight="1" outlineLevel="1">
      <c r="A181" s="248"/>
      <c r="B181" s="309" t="s">
        <v>293</v>
      </c>
      <c r="C181" s="52"/>
      <c r="D181" s="68"/>
      <c r="E181" s="68"/>
      <c r="F181" s="68"/>
      <c r="G181" s="69" t="s">
        <v>21</v>
      </c>
      <c r="H181" s="115">
        <f t="shared" ref="H181" si="49">-D181/1000*F181/1000</f>
        <v>0</v>
      </c>
      <c r="I181" s="11"/>
      <c r="J181" s="19"/>
      <c r="K181" s="19"/>
      <c r="L181" s="56"/>
      <c r="M181" s="102"/>
    </row>
    <row r="182" spans="1:13" s="3" customFormat="1" ht="72.75" customHeight="1">
      <c r="A182" s="11">
        <v>3</v>
      </c>
      <c r="B182" s="12" t="s">
        <v>299</v>
      </c>
      <c r="C182" s="28"/>
      <c r="D182" s="36"/>
      <c r="E182" s="36"/>
      <c r="F182" s="36"/>
      <c r="G182" s="11" t="s">
        <v>21</v>
      </c>
      <c r="H182" s="31">
        <f>SUM(H183:H187)</f>
        <v>0</v>
      </c>
      <c r="I182" s="11">
        <v>1</v>
      </c>
      <c r="J182" s="19">
        <v>720000</v>
      </c>
      <c r="K182" s="19">
        <f t="shared" ref="K182" si="50">J182*I182*H182</f>
        <v>0</v>
      </c>
      <c r="L182" s="56" t="s">
        <v>32</v>
      </c>
      <c r="M182" s="102"/>
    </row>
    <row r="183" spans="1:13" s="3" customFormat="1" ht="51" hidden="1" customHeight="1" outlineLevel="1">
      <c r="A183" s="247"/>
      <c r="B183" s="52"/>
      <c r="C183" s="52"/>
      <c r="D183" s="30"/>
      <c r="E183" s="30"/>
      <c r="F183" s="30"/>
      <c r="G183" s="33" t="s">
        <v>21</v>
      </c>
      <c r="H183" s="114">
        <f t="shared" ref="H183" si="51">D183/1000*F183/1000</f>
        <v>0</v>
      </c>
      <c r="I183" s="11"/>
      <c r="J183" s="19"/>
      <c r="K183" s="19"/>
      <c r="L183" s="56"/>
      <c r="M183" s="102"/>
    </row>
    <row r="184" spans="1:13" s="3" customFormat="1" ht="51" hidden="1" customHeight="1" outlineLevel="1">
      <c r="A184" s="249"/>
      <c r="B184" s="309" t="s">
        <v>293</v>
      </c>
      <c r="C184" s="52"/>
      <c r="D184" s="68"/>
      <c r="E184" s="68"/>
      <c r="F184" s="68"/>
      <c r="G184" s="69" t="s">
        <v>21</v>
      </c>
      <c r="H184" s="115">
        <f t="shared" ref="H184" si="52">-D184/1000*F184/1000</f>
        <v>0</v>
      </c>
      <c r="I184" s="11"/>
      <c r="J184" s="19"/>
      <c r="K184" s="19"/>
      <c r="L184" s="56"/>
      <c r="M184" s="102"/>
    </row>
    <row r="185" spans="1:13" s="3" customFormat="1" ht="51" hidden="1" customHeight="1" outlineLevel="1">
      <c r="A185" s="249"/>
      <c r="B185" s="52"/>
      <c r="C185" s="52"/>
      <c r="D185" s="30"/>
      <c r="E185" s="30"/>
      <c r="F185" s="30"/>
      <c r="G185" s="33" t="s">
        <v>21</v>
      </c>
      <c r="H185" s="114">
        <f t="shared" ref="H185:H186" si="53">D185/1000*F185/1000</f>
        <v>0</v>
      </c>
      <c r="I185" s="11"/>
      <c r="J185" s="19"/>
      <c r="K185" s="19"/>
      <c r="L185" s="56"/>
      <c r="M185" s="102"/>
    </row>
    <row r="186" spans="1:13" s="3" customFormat="1" ht="51" hidden="1" customHeight="1" outlineLevel="1">
      <c r="A186" s="249"/>
      <c r="B186" s="52"/>
      <c r="C186" s="52"/>
      <c r="D186" s="30"/>
      <c r="E186" s="30"/>
      <c r="F186" s="30"/>
      <c r="G186" s="33" t="s">
        <v>21</v>
      </c>
      <c r="H186" s="114">
        <f t="shared" si="53"/>
        <v>0</v>
      </c>
      <c r="I186" s="11"/>
      <c r="J186" s="19"/>
      <c r="K186" s="19"/>
      <c r="L186" s="56"/>
      <c r="M186" s="102"/>
    </row>
    <row r="187" spans="1:13" s="3" customFormat="1" ht="51" hidden="1" customHeight="1" outlineLevel="1">
      <c r="A187" s="248"/>
      <c r="B187" s="309" t="s">
        <v>293</v>
      </c>
      <c r="C187" s="52"/>
      <c r="D187" s="68"/>
      <c r="E187" s="68"/>
      <c r="F187" s="68"/>
      <c r="G187" s="69" t="s">
        <v>21</v>
      </c>
      <c r="H187" s="115">
        <f t="shared" ref="H187" si="54">-D187/1000*F187/1000</f>
        <v>0</v>
      </c>
      <c r="I187" s="11"/>
      <c r="J187" s="19"/>
      <c r="K187" s="19"/>
      <c r="L187" s="56"/>
      <c r="M187" s="102"/>
    </row>
    <row r="188" spans="1:13" s="24" customFormat="1" ht="77.25" customHeight="1" collapsed="1">
      <c r="A188" s="11">
        <v>4</v>
      </c>
      <c r="B188" s="28" t="s">
        <v>83</v>
      </c>
      <c r="C188" s="29"/>
      <c r="D188" s="17"/>
      <c r="E188" s="30"/>
      <c r="F188" s="30"/>
      <c r="G188" s="11" t="s">
        <v>21</v>
      </c>
      <c r="H188" s="112"/>
      <c r="I188" s="11">
        <v>1</v>
      </c>
      <c r="J188" s="19">
        <v>205000</v>
      </c>
      <c r="K188" s="19">
        <f t="shared" ref="K188:K202" si="55">J188*I188*H188</f>
        <v>0</v>
      </c>
      <c r="L188" s="60" t="s">
        <v>31</v>
      </c>
      <c r="M188" s="106"/>
    </row>
    <row r="189" spans="1:13" s="168" customFormat="1" ht="68.25" customHeight="1">
      <c r="A189" s="11">
        <v>5</v>
      </c>
      <c r="B189" s="62" t="s">
        <v>128</v>
      </c>
      <c r="C189" s="167"/>
      <c r="D189" s="44"/>
      <c r="E189" s="44"/>
      <c r="F189" s="44"/>
      <c r="G189" s="55" t="s">
        <v>37</v>
      </c>
      <c r="H189" s="113">
        <f>F189/1000</f>
        <v>0</v>
      </c>
      <c r="I189" s="55">
        <v>1</v>
      </c>
      <c r="J189" s="53">
        <f>360000+205000</f>
        <v>565000</v>
      </c>
      <c r="K189" s="19">
        <f t="shared" si="55"/>
        <v>0</v>
      </c>
      <c r="L189" s="71" t="s">
        <v>32</v>
      </c>
      <c r="M189" s="102"/>
    </row>
    <row r="190" spans="1:13" s="168" customFormat="1" ht="79.5" customHeight="1">
      <c r="A190" s="11">
        <v>6</v>
      </c>
      <c r="B190" s="62" t="s">
        <v>217</v>
      </c>
      <c r="C190" s="193"/>
      <c r="D190" s="44"/>
      <c r="E190" s="44"/>
      <c r="F190" s="44"/>
      <c r="G190" s="55" t="s">
        <v>138</v>
      </c>
      <c r="H190" s="113">
        <v>1</v>
      </c>
      <c r="I190" s="55"/>
      <c r="J190" s="53">
        <v>1500000</v>
      </c>
      <c r="K190" s="19">
        <f t="shared" si="55"/>
        <v>0</v>
      </c>
      <c r="L190" s="71" t="s">
        <v>139</v>
      </c>
      <c r="M190" s="102"/>
    </row>
    <row r="191" spans="1:13" s="3" customFormat="1" ht="66.75" customHeight="1">
      <c r="A191" s="298">
        <v>7</v>
      </c>
      <c r="B191" s="62" t="s">
        <v>129</v>
      </c>
      <c r="C191" s="62"/>
      <c r="D191" s="44"/>
      <c r="E191" s="44"/>
      <c r="F191" s="44"/>
      <c r="G191" s="55" t="s">
        <v>20</v>
      </c>
      <c r="H191" s="113">
        <v>1</v>
      </c>
      <c r="I191" s="55"/>
      <c r="J191" s="53">
        <v>3200000</v>
      </c>
      <c r="K191" s="19">
        <f t="shared" si="55"/>
        <v>0</v>
      </c>
      <c r="L191" s="71" t="s">
        <v>85</v>
      </c>
      <c r="M191" s="102"/>
    </row>
    <row r="192" spans="1:13" s="3" customFormat="1" ht="59.25" customHeight="1">
      <c r="A192" s="299"/>
      <c r="B192" s="62" t="s">
        <v>218</v>
      </c>
      <c r="C192" s="62"/>
      <c r="D192" s="44"/>
      <c r="E192" s="44"/>
      <c r="F192" s="44"/>
      <c r="G192" s="55" t="s">
        <v>20</v>
      </c>
      <c r="H192" s="113">
        <v>1</v>
      </c>
      <c r="I192" s="55"/>
      <c r="J192" s="53">
        <v>3200000</v>
      </c>
      <c r="K192" s="19">
        <f t="shared" si="55"/>
        <v>0</v>
      </c>
      <c r="L192" s="71" t="s">
        <v>85</v>
      </c>
      <c r="M192" s="102"/>
    </row>
    <row r="193" spans="1:14" s="3" customFormat="1" ht="77.25" customHeight="1">
      <c r="A193" s="35">
        <v>8</v>
      </c>
      <c r="B193" s="28" t="s">
        <v>303</v>
      </c>
      <c r="C193" s="28"/>
      <c r="D193" s="36"/>
      <c r="E193" s="36"/>
      <c r="F193" s="36"/>
      <c r="G193" s="11" t="s">
        <v>21</v>
      </c>
      <c r="H193" s="112"/>
      <c r="I193" s="11">
        <v>1</v>
      </c>
      <c r="J193" s="19">
        <v>260000</v>
      </c>
      <c r="K193" s="19">
        <f t="shared" si="55"/>
        <v>0</v>
      </c>
      <c r="L193" s="51" t="s">
        <v>33</v>
      </c>
      <c r="M193" s="101"/>
      <c r="N193" s="24"/>
    </row>
    <row r="194" spans="1:14" s="23" customFormat="1" ht="67.5" customHeight="1">
      <c r="A194" s="247">
        <v>9</v>
      </c>
      <c r="B194" s="28" t="s">
        <v>93</v>
      </c>
      <c r="C194" s="28"/>
      <c r="D194" s="44"/>
      <c r="E194" s="44"/>
      <c r="F194" s="44"/>
      <c r="G194" s="11" t="s">
        <v>21</v>
      </c>
      <c r="H194" s="112"/>
      <c r="I194" s="11">
        <v>1</v>
      </c>
      <c r="J194" s="19">
        <v>290000</v>
      </c>
      <c r="K194" s="19">
        <f t="shared" si="55"/>
        <v>0</v>
      </c>
      <c r="L194" s="51" t="s">
        <v>34</v>
      </c>
      <c r="M194" s="101"/>
      <c r="N194" s="24"/>
    </row>
    <row r="195" spans="1:14" s="23" customFormat="1" ht="75" customHeight="1">
      <c r="A195" s="249"/>
      <c r="B195" s="28" t="s">
        <v>220</v>
      </c>
      <c r="C195" s="28"/>
      <c r="D195" s="44"/>
      <c r="E195" s="44"/>
      <c r="F195" s="44"/>
      <c r="G195" s="11" t="s">
        <v>21</v>
      </c>
      <c r="H195" s="112"/>
      <c r="I195" s="15">
        <v>1</v>
      </c>
      <c r="J195" s="19">
        <v>300000</v>
      </c>
      <c r="K195" s="19">
        <f t="shared" si="55"/>
        <v>0</v>
      </c>
      <c r="L195" s="61" t="s">
        <v>90</v>
      </c>
      <c r="M195" s="101"/>
      <c r="N195" s="24"/>
    </row>
    <row r="196" spans="1:14" s="23" customFormat="1" ht="75" customHeight="1">
      <c r="A196" s="249"/>
      <c r="B196" s="28" t="s">
        <v>213</v>
      </c>
      <c r="C196" s="111"/>
      <c r="D196" s="36"/>
      <c r="E196" s="36"/>
      <c r="F196" s="36"/>
      <c r="G196" s="11" t="s">
        <v>21</v>
      </c>
      <c r="H196" s="112"/>
      <c r="I196" s="15">
        <v>1</v>
      </c>
      <c r="J196" s="19">
        <v>300000</v>
      </c>
      <c r="K196" s="19">
        <f t="shared" si="55"/>
        <v>0</v>
      </c>
      <c r="L196" s="61" t="s">
        <v>89</v>
      </c>
      <c r="M196" s="102"/>
      <c r="N196" s="24"/>
    </row>
    <row r="197" spans="1:14" s="23" customFormat="1" ht="75" customHeight="1">
      <c r="A197" s="249"/>
      <c r="B197" s="28" t="s">
        <v>213</v>
      </c>
      <c r="C197" s="111"/>
      <c r="D197" s="36"/>
      <c r="E197" s="36"/>
      <c r="F197" s="36"/>
      <c r="G197" s="11" t="s">
        <v>21</v>
      </c>
      <c r="H197" s="112"/>
      <c r="I197" s="15">
        <v>1</v>
      </c>
      <c r="J197" s="19">
        <v>300000</v>
      </c>
      <c r="K197" s="19">
        <f t="shared" si="55"/>
        <v>0</v>
      </c>
      <c r="L197" s="61" t="s">
        <v>89</v>
      </c>
      <c r="M197" s="101"/>
    </row>
    <row r="198" spans="1:14" s="23" customFormat="1" ht="75" customHeight="1">
      <c r="A198" s="248"/>
      <c r="B198" s="28" t="s">
        <v>221</v>
      </c>
      <c r="C198" s="111"/>
      <c r="D198" s="36"/>
      <c r="E198" s="36"/>
      <c r="F198" s="36"/>
      <c r="G198" s="11" t="s">
        <v>21</v>
      </c>
      <c r="H198" s="112"/>
      <c r="I198" s="15">
        <v>1</v>
      </c>
      <c r="J198" s="19">
        <v>300000</v>
      </c>
      <c r="K198" s="19">
        <f t="shared" si="55"/>
        <v>0</v>
      </c>
      <c r="L198" s="61" t="s">
        <v>89</v>
      </c>
      <c r="M198" s="101"/>
    </row>
    <row r="199" spans="1:14" s="3" customFormat="1" ht="69.75" customHeight="1">
      <c r="A199" s="247">
        <v>10</v>
      </c>
      <c r="B199" s="28" t="s">
        <v>76</v>
      </c>
      <c r="C199" s="45"/>
      <c r="D199" s="36"/>
      <c r="E199" s="36"/>
      <c r="F199" s="36"/>
      <c r="G199" s="11" t="s">
        <v>21</v>
      </c>
      <c r="H199" s="112"/>
      <c r="I199" s="11">
        <v>1</v>
      </c>
      <c r="J199" s="19">
        <v>320000</v>
      </c>
      <c r="K199" s="19">
        <f t="shared" si="55"/>
        <v>0</v>
      </c>
      <c r="L199" s="51" t="s">
        <v>35</v>
      </c>
      <c r="M199" s="102"/>
    </row>
    <row r="200" spans="1:14" s="3" customFormat="1" ht="78.75" customHeight="1">
      <c r="A200" s="249"/>
      <c r="B200" s="28" t="s">
        <v>133</v>
      </c>
      <c r="C200" s="111"/>
      <c r="D200" s="36"/>
      <c r="E200" s="36"/>
      <c r="F200" s="36"/>
      <c r="G200" s="11" t="s">
        <v>21</v>
      </c>
      <c r="H200" s="112"/>
      <c r="I200" s="15">
        <v>1</v>
      </c>
      <c r="J200" s="19">
        <v>300000</v>
      </c>
      <c r="K200" s="19">
        <f t="shared" si="55"/>
        <v>0</v>
      </c>
      <c r="L200" s="61" t="s">
        <v>89</v>
      </c>
      <c r="M200" s="101"/>
    </row>
    <row r="201" spans="1:14" s="23" customFormat="1" ht="93" customHeight="1">
      <c r="A201" s="248"/>
      <c r="B201" s="28" t="s">
        <v>132</v>
      </c>
      <c r="C201" s="111"/>
      <c r="D201" s="36"/>
      <c r="E201" s="36"/>
      <c r="F201" s="36"/>
      <c r="G201" s="11" t="s">
        <v>21</v>
      </c>
      <c r="H201" s="112"/>
      <c r="I201" s="15">
        <v>1</v>
      </c>
      <c r="J201" s="19">
        <v>300000</v>
      </c>
      <c r="K201" s="19">
        <f t="shared" si="55"/>
        <v>0</v>
      </c>
      <c r="L201" s="61" t="s">
        <v>89</v>
      </c>
      <c r="M201" s="101"/>
    </row>
    <row r="202" spans="1:14" s="3" customFormat="1" ht="111.75" customHeight="1">
      <c r="A202" s="64">
        <v>11</v>
      </c>
      <c r="B202" s="28" t="s">
        <v>136</v>
      </c>
      <c r="C202" s="28"/>
      <c r="D202" s="36"/>
      <c r="E202" s="40"/>
      <c r="F202" s="11"/>
      <c r="G202" s="11" t="s">
        <v>37</v>
      </c>
      <c r="H202" s="31">
        <f>SUM(H203:H205)</f>
        <v>0</v>
      </c>
      <c r="I202" s="11">
        <v>1</v>
      </c>
      <c r="J202" s="19">
        <v>150000</v>
      </c>
      <c r="K202" s="19">
        <f t="shared" si="55"/>
        <v>0</v>
      </c>
      <c r="L202" s="51" t="s">
        <v>38</v>
      </c>
      <c r="M202" s="107"/>
    </row>
    <row r="203" spans="1:14" s="25" customFormat="1" ht="47.25" hidden="1" customHeight="1" outlineLevel="1">
      <c r="A203" s="258"/>
      <c r="B203" s="29"/>
      <c r="C203" s="29"/>
      <c r="D203" s="30"/>
      <c r="E203" s="65"/>
      <c r="F203" s="33"/>
      <c r="G203" s="33" t="s">
        <v>37</v>
      </c>
      <c r="H203" s="114">
        <f t="shared" ref="H203:H205" si="56">D203/1000*1.1</f>
        <v>0</v>
      </c>
      <c r="I203" s="33"/>
      <c r="J203" s="19"/>
      <c r="K203" s="19"/>
      <c r="L203" s="29"/>
      <c r="M203" s="107"/>
    </row>
    <row r="204" spans="1:14" s="25" customFormat="1" ht="47.25" hidden="1" customHeight="1" outlineLevel="1">
      <c r="A204" s="259"/>
      <c r="B204" s="29"/>
      <c r="C204" s="29"/>
      <c r="D204" s="30"/>
      <c r="E204" s="65"/>
      <c r="F204" s="33"/>
      <c r="G204" s="33" t="s">
        <v>37</v>
      </c>
      <c r="H204" s="114">
        <f t="shared" si="56"/>
        <v>0</v>
      </c>
      <c r="I204" s="33"/>
      <c r="J204" s="19"/>
      <c r="K204" s="19"/>
      <c r="L204" s="29"/>
      <c r="M204" s="107"/>
    </row>
    <row r="205" spans="1:14" s="25" customFormat="1" ht="47.25" hidden="1" customHeight="1" outlineLevel="1">
      <c r="A205" s="260"/>
      <c r="B205" s="29"/>
      <c r="C205" s="29"/>
      <c r="D205" s="30"/>
      <c r="E205" s="65"/>
      <c r="F205" s="33"/>
      <c r="G205" s="33" t="s">
        <v>37</v>
      </c>
      <c r="H205" s="114">
        <f t="shared" si="56"/>
        <v>0</v>
      </c>
      <c r="I205" s="33"/>
      <c r="J205" s="19"/>
      <c r="K205" s="19"/>
      <c r="L205" s="29"/>
      <c r="M205" s="107"/>
    </row>
    <row r="206" spans="1:14" s="23" customFormat="1" ht="89.25" customHeight="1" collapsed="1">
      <c r="A206" s="247">
        <v>12</v>
      </c>
      <c r="B206" s="62" t="s">
        <v>134</v>
      </c>
      <c r="C206" s="62"/>
      <c r="D206" s="44"/>
      <c r="E206" s="44"/>
      <c r="F206" s="44"/>
      <c r="G206" s="55" t="s">
        <v>20</v>
      </c>
      <c r="H206" s="63">
        <v>1</v>
      </c>
      <c r="I206" s="55"/>
      <c r="J206" s="19">
        <v>1500000</v>
      </c>
      <c r="K206" s="19">
        <f t="shared" ref="K206:K213" si="57">J206*I206*H206</f>
        <v>0</v>
      </c>
      <c r="L206" s="71" t="s">
        <v>36</v>
      </c>
      <c r="M206" s="102"/>
    </row>
    <row r="207" spans="1:14" s="23" customFormat="1" ht="89.25" customHeight="1">
      <c r="A207" s="248"/>
      <c r="B207" s="62" t="s">
        <v>304</v>
      </c>
      <c r="C207" s="62"/>
      <c r="D207" s="44"/>
      <c r="E207" s="44"/>
      <c r="F207" s="44"/>
      <c r="G207" s="55" t="s">
        <v>20</v>
      </c>
      <c r="H207" s="63">
        <v>1</v>
      </c>
      <c r="I207" s="55"/>
      <c r="J207" s="19">
        <v>4000000</v>
      </c>
      <c r="K207" s="19">
        <f t="shared" si="57"/>
        <v>0</v>
      </c>
      <c r="L207" s="71" t="s">
        <v>36</v>
      </c>
      <c r="M207" s="102"/>
    </row>
    <row r="208" spans="1:14" s="25" customFormat="1" ht="84" customHeight="1">
      <c r="A208" s="258">
        <v>13</v>
      </c>
      <c r="B208" s="62" t="s">
        <v>224</v>
      </c>
      <c r="C208" s="62"/>
      <c r="D208" s="44"/>
      <c r="E208" s="92"/>
      <c r="F208" s="55"/>
      <c r="G208" s="55" t="s">
        <v>21</v>
      </c>
      <c r="H208" s="113"/>
      <c r="I208" s="55">
        <v>1</v>
      </c>
      <c r="J208" s="53">
        <v>435000</v>
      </c>
      <c r="K208" s="19">
        <f t="shared" si="57"/>
        <v>0</v>
      </c>
      <c r="L208" s="71" t="s">
        <v>175</v>
      </c>
      <c r="M208" s="107"/>
    </row>
    <row r="209" spans="1:13" s="25" customFormat="1" ht="84" customHeight="1">
      <c r="A209" s="260"/>
      <c r="B209" s="62" t="s">
        <v>225</v>
      </c>
      <c r="C209" s="62"/>
      <c r="D209" s="44"/>
      <c r="E209" s="92"/>
      <c r="F209" s="55"/>
      <c r="G209" s="55" t="s">
        <v>21</v>
      </c>
      <c r="H209" s="113"/>
      <c r="I209" s="55">
        <v>1</v>
      </c>
      <c r="J209" s="53">
        <v>435000</v>
      </c>
      <c r="K209" s="19">
        <f t="shared" si="57"/>
        <v>0</v>
      </c>
      <c r="L209" s="71" t="s">
        <v>175</v>
      </c>
      <c r="M209" s="107"/>
    </row>
    <row r="210" spans="1:13" s="25" customFormat="1" ht="84" customHeight="1">
      <c r="A210" s="64">
        <v>14</v>
      </c>
      <c r="B210" s="28" t="s">
        <v>176</v>
      </c>
      <c r="C210" s="28"/>
      <c r="D210" s="36"/>
      <c r="E210" s="40"/>
      <c r="F210" s="11"/>
      <c r="G210" s="11" t="s">
        <v>37</v>
      </c>
      <c r="H210" s="112">
        <f>SUM(H211:H212)</f>
        <v>0</v>
      </c>
      <c r="I210" s="11">
        <v>1</v>
      </c>
      <c r="J210" s="19">
        <v>70000</v>
      </c>
      <c r="K210" s="19">
        <f t="shared" si="57"/>
        <v>0</v>
      </c>
      <c r="L210" s="51" t="s">
        <v>177</v>
      </c>
      <c r="M210" s="107"/>
    </row>
    <row r="211" spans="1:13" s="25" customFormat="1" ht="46.5" hidden="1" customHeight="1" outlineLevel="1">
      <c r="A211" s="64"/>
      <c r="B211" s="29" t="s">
        <v>115</v>
      </c>
      <c r="C211" s="29"/>
      <c r="D211" s="30"/>
      <c r="E211" s="65"/>
      <c r="F211" s="33"/>
      <c r="G211" s="33" t="s">
        <v>37</v>
      </c>
      <c r="H211" s="114">
        <f t="shared" ref="H211:H212" si="58">D211/1000*1.1</f>
        <v>0</v>
      </c>
      <c r="I211" s="11"/>
      <c r="J211" s="19"/>
      <c r="K211" s="19">
        <f t="shared" si="57"/>
        <v>0</v>
      </c>
      <c r="L211" s="51"/>
      <c r="M211" s="107"/>
    </row>
    <row r="212" spans="1:13" s="25" customFormat="1" ht="46.5" hidden="1" customHeight="1" outlineLevel="1">
      <c r="A212" s="64"/>
      <c r="B212" s="29" t="s">
        <v>122</v>
      </c>
      <c r="C212" s="29"/>
      <c r="D212" s="30"/>
      <c r="E212" s="65"/>
      <c r="F212" s="33"/>
      <c r="G212" s="33" t="s">
        <v>37</v>
      </c>
      <c r="H212" s="114">
        <f t="shared" si="58"/>
        <v>0</v>
      </c>
      <c r="I212" s="11"/>
      <c r="J212" s="19"/>
      <c r="K212" s="19">
        <f t="shared" si="57"/>
        <v>0</v>
      </c>
      <c r="L212" s="51"/>
      <c r="M212" s="107"/>
    </row>
    <row r="213" spans="1:13" s="25" customFormat="1" ht="102" customHeight="1" collapsed="1">
      <c r="A213" s="11">
        <v>15</v>
      </c>
      <c r="B213" s="28" t="s">
        <v>226</v>
      </c>
      <c r="C213" s="48"/>
      <c r="D213" s="36"/>
      <c r="E213" s="36"/>
      <c r="F213" s="36"/>
      <c r="G213" s="11" t="s">
        <v>21</v>
      </c>
      <c r="H213" s="112">
        <f>SUM(H214:H215)</f>
        <v>0</v>
      </c>
      <c r="I213" s="11">
        <v>1</v>
      </c>
      <c r="J213" s="19">
        <v>295000</v>
      </c>
      <c r="K213" s="19">
        <f t="shared" si="57"/>
        <v>0</v>
      </c>
      <c r="L213" s="56" t="s">
        <v>39</v>
      </c>
      <c r="M213" s="189"/>
    </row>
    <row r="214" spans="1:13" s="25" customFormat="1" ht="54" hidden="1" customHeight="1" outlineLevel="1">
      <c r="A214" s="247"/>
      <c r="B214" s="29"/>
      <c r="C214" s="29"/>
      <c r="D214" s="30"/>
      <c r="E214" s="30"/>
      <c r="F214" s="30"/>
      <c r="G214" s="33" t="s">
        <v>21</v>
      </c>
      <c r="H214" s="114">
        <f>D214/1000*F214/1000</f>
        <v>0</v>
      </c>
      <c r="I214" s="33"/>
      <c r="J214" s="50"/>
      <c r="K214" s="19"/>
      <c r="L214" s="154"/>
      <c r="M214" s="189"/>
    </row>
    <row r="215" spans="1:13" s="25" customFormat="1" ht="54" hidden="1" customHeight="1" outlineLevel="1">
      <c r="A215" s="248"/>
      <c r="B215" s="29"/>
      <c r="C215" s="29"/>
      <c r="D215" s="30"/>
      <c r="E215" s="30"/>
      <c r="F215" s="30"/>
      <c r="G215" s="33" t="s">
        <v>21</v>
      </c>
      <c r="H215" s="114">
        <f>D215/1000*F215/1000</f>
        <v>0</v>
      </c>
      <c r="I215" s="33"/>
      <c r="J215" s="50"/>
      <c r="K215" s="19"/>
      <c r="L215" s="154"/>
      <c r="M215" s="102"/>
    </row>
    <row r="216" spans="1:13" s="23" customFormat="1" ht="69.75" customHeight="1" collapsed="1">
      <c r="A216" s="11">
        <v>16</v>
      </c>
      <c r="B216" s="62" t="s">
        <v>135</v>
      </c>
      <c r="C216" s="125"/>
      <c r="D216" s="44"/>
      <c r="E216" s="92"/>
      <c r="F216" s="55"/>
      <c r="G216" s="55" t="s">
        <v>21</v>
      </c>
      <c r="H216" s="113"/>
      <c r="I216" s="55">
        <v>1</v>
      </c>
      <c r="J216" s="53">
        <v>195000</v>
      </c>
      <c r="K216" s="19">
        <f t="shared" ref="K216:K221" si="59">J216*I216*H216</f>
        <v>0</v>
      </c>
      <c r="L216" s="71" t="s">
        <v>39</v>
      </c>
      <c r="M216" s="101"/>
    </row>
    <row r="217" spans="1:13" s="3" customFormat="1" ht="87.75" customHeight="1">
      <c r="A217" s="247">
        <v>17</v>
      </c>
      <c r="B217" s="28" t="s">
        <v>40</v>
      </c>
      <c r="C217" s="66"/>
      <c r="D217" s="36"/>
      <c r="E217" s="36"/>
      <c r="F217" s="36"/>
      <c r="G217" s="11" t="s">
        <v>20</v>
      </c>
      <c r="H217" s="112">
        <v>1</v>
      </c>
      <c r="I217" s="11"/>
      <c r="J217" s="19">
        <v>1050000</v>
      </c>
      <c r="K217" s="19">
        <f t="shared" si="59"/>
        <v>0</v>
      </c>
      <c r="L217" s="56" t="s">
        <v>41</v>
      </c>
      <c r="M217" s="102"/>
    </row>
    <row r="218" spans="1:13" s="3" customFormat="1" ht="67.5" customHeight="1">
      <c r="A218" s="248"/>
      <c r="B218" s="28" t="s">
        <v>114</v>
      </c>
      <c r="C218" s="67"/>
      <c r="D218" s="36"/>
      <c r="E218" s="40"/>
      <c r="F218" s="11"/>
      <c r="G218" s="11" t="s">
        <v>42</v>
      </c>
      <c r="H218" s="112">
        <v>1</v>
      </c>
      <c r="I218" s="11"/>
      <c r="J218" s="19">
        <v>600000</v>
      </c>
      <c r="K218" s="19">
        <f t="shared" si="59"/>
        <v>0</v>
      </c>
      <c r="L218" s="56" t="s">
        <v>43</v>
      </c>
      <c r="M218" s="101"/>
    </row>
    <row r="219" spans="1:13" s="23" customFormat="1" ht="66.75" customHeight="1">
      <c r="A219" s="11">
        <v>18</v>
      </c>
      <c r="B219" s="62" t="s">
        <v>74</v>
      </c>
      <c r="C219" s="109"/>
      <c r="D219" s="44"/>
      <c r="E219" s="92"/>
      <c r="F219" s="55"/>
      <c r="G219" s="55" t="s">
        <v>21</v>
      </c>
      <c r="H219" s="113"/>
      <c r="I219" s="55">
        <v>1</v>
      </c>
      <c r="J219" s="53">
        <v>35000</v>
      </c>
      <c r="K219" s="19">
        <f t="shared" si="59"/>
        <v>0</v>
      </c>
      <c r="L219" s="62" t="s">
        <v>44</v>
      </c>
      <c r="M219" s="137"/>
    </row>
    <row r="220" spans="1:13" s="23" customFormat="1" ht="101.25" customHeight="1">
      <c r="A220" s="247">
        <v>19</v>
      </c>
      <c r="B220" s="62" t="s">
        <v>45</v>
      </c>
      <c r="C220" s="44"/>
      <c r="D220" s="92"/>
      <c r="E220" s="55"/>
      <c r="F220" s="55"/>
      <c r="G220" s="55" t="s">
        <v>21</v>
      </c>
      <c r="H220" s="113"/>
      <c r="I220" s="55">
        <v>1</v>
      </c>
      <c r="J220" s="53">
        <v>175000</v>
      </c>
      <c r="K220" s="19">
        <f t="shared" si="59"/>
        <v>0</v>
      </c>
      <c r="L220" s="71" t="s">
        <v>46</v>
      </c>
      <c r="M220" s="101"/>
    </row>
    <row r="221" spans="1:13" s="3" customFormat="1" ht="90.75" customHeight="1">
      <c r="A221" s="248"/>
      <c r="B221" s="28" t="s">
        <v>111</v>
      </c>
      <c r="C221" s="36"/>
      <c r="D221" s="40"/>
      <c r="E221" s="11"/>
      <c r="F221" s="11"/>
      <c r="G221" s="11" t="s">
        <v>21</v>
      </c>
      <c r="H221" s="31">
        <f>SUM(H222:H229)</f>
        <v>0</v>
      </c>
      <c r="I221" s="11">
        <v>1</v>
      </c>
      <c r="J221" s="19">
        <v>160000</v>
      </c>
      <c r="K221" s="19">
        <f t="shared" si="59"/>
        <v>0</v>
      </c>
      <c r="L221" s="51" t="s">
        <v>77</v>
      </c>
      <c r="M221" s="102"/>
    </row>
    <row r="222" spans="1:13" s="3" customFormat="1" ht="46.5" hidden="1" customHeight="1" outlineLevel="1">
      <c r="A222" s="247"/>
      <c r="B222" s="52"/>
      <c r="C222" s="32"/>
      <c r="D222" s="30"/>
      <c r="E222" s="30"/>
      <c r="F222" s="30"/>
      <c r="G222" s="33" t="s">
        <v>21</v>
      </c>
      <c r="H222" s="114">
        <f>D222/1000*F222/1000</f>
        <v>0</v>
      </c>
      <c r="I222" s="11"/>
      <c r="J222" s="19"/>
      <c r="K222" s="19"/>
      <c r="L222" s="51"/>
      <c r="M222" s="102"/>
    </row>
    <row r="223" spans="1:13" s="3" customFormat="1" ht="46.5" hidden="1" customHeight="1" outlineLevel="1">
      <c r="A223" s="249"/>
      <c r="B223" s="309" t="s">
        <v>293</v>
      </c>
      <c r="C223" s="95"/>
      <c r="D223" s="68"/>
      <c r="E223" s="68"/>
      <c r="F223" s="68"/>
      <c r="G223" s="69" t="s">
        <v>21</v>
      </c>
      <c r="H223" s="115">
        <f t="shared" ref="H223" si="60">-D223/1000*F223/1000</f>
        <v>0</v>
      </c>
      <c r="I223" s="11"/>
      <c r="J223" s="19"/>
      <c r="K223" s="19"/>
      <c r="L223" s="70"/>
      <c r="M223" s="102"/>
    </row>
    <row r="224" spans="1:13" s="3" customFormat="1" ht="46.5" hidden="1" customHeight="1" outlineLevel="1">
      <c r="A224" s="249"/>
      <c r="B224" s="52"/>
      <c r="C224" s="95"/>
      <c r="D224" s="30"/>
      <c r="E224" s="30"/>
      <c r="F224" s="30"/>
      <c r="G224" s="33" t="s">
        <v>21</v>
      </c>
      <c r="H224" s="114">
        <f>D224/1000*F224/1000</f>
        <v>0</v>
      </c>
      <c r="I224" s="11"/>
      <c r="J224" s="19"/>
      <c r="K224" s="19"/>
      <c r="L224" s="70"/>
      <c r="M224" s="102"/>
    </row>
    <row r="225" spans="1:13" s="3" customFormat="1" ht="46.5" hidden="1" customHeight="1" outlineLevel="1">
      <c r="A225" s="249"/>
      <c r="B225" s="309" t="s">
        <v>293</v>
      </c>
      <c r="C225" s="95"/>
      <c r="D225" s="68"/>
      <c r="E225" s="68"/>
      <c r="F225" s="68"/>
      <c r="G225" s="69" t="s">
        <v>21</v>
      </c>
      <c r="H225" s="115">
        <f t="shared" ref="H225" si="61">-D225/1000*F225/1000</f>
        <v>0</v>
      </c>
      <c r="I225" s="11"/>
      <c r="J225" s="19"/>
      <c r="K225" s="19"/>
      <c r="L225" s="70"/>
      <c r="M225" s="102"/>
    </row>
    <row r="226" spans="1:13" s="3" customFormat="1" ht="46.5" hidden="1" customHeight="1" outlineLevel="1">
      <c r="A226" s="249"/>
      <c r="B226" s="52"/>
      <c r="C226" s="95"/>
      <c r="D226" s="30"/>
      <c r="E226" s="30"/>
      <c r="F226" s="30"/>
      <c r="G226" s="33" t="s">
        <v>21</v>
      </c>
      <c r="H226" s="114">
        <f>D226/1000*F226/1000</f>
        <v>0</v>
      </c>
      <c r="I226" s="11"/>
      <c r="J226" s="19"/>
      <c r="K226" s="19"/>
      <c r="L226" s="70"/>
      <c r="M226" s="102"/>
    </row>
    <row r="227" spans="1:13" s="3" customFormat="1" ht="46.5" hidden="1" customHeight="1" outlineLevel="1">
      <c r="A227" s="249"/>
      <c r="B227" s="309" t="s">
        <v>293</v>
      </c>
      <c r="C227" s="95"/>
      <c r="D227" s="68"/>
      <c r="E227" s="68"/>
      <c r="F227" s="68"/>
      <c r="G227" s="69" t="s">
        <v>21</v>
      </c>
      <c r="H227" s="115">
        <f t="shared" ref="H227" si="62">-D227/1000*F227/1000</f>
        <v>0</v>
      </c>
      <c r="I227" s="11"/>
      <c r="J227" s="19"/>
      <c r="K227" s="19"/>
      <c r="L227" s="70"/>
      <c r="M227" s="102"/>
    </row>
    <row r="228" spans="1:13" s="3" customFormat="1" ht="43.5" hidden="1" customHeight="1" outlineLevel="1">
      <c r="A228" s="249"/>
      <c r="B228" s="52"/>
      <c r="C228" s="131"/>
      <c r="D228" s="30"/>
      <c r="E228" s="68"/>
      <c r="F228" s="30"/>
      <c r="G228" s="33" t="s">
        <v>21</v>
      </c>
      <c r="H228" s="114">
        <f>D228/1000*F228/1000</f>
        <v>0</v>
      </c>
      <c r="I228" s="11"/>
      <c r="J228" s="19"/>
      <c r="K228" s="19"/>
      <c r="L228" s="70"/>
      <c r="M228" s="102"/>
    </row>
    <row r="229" spans="1:13" s="3" customFormat="1" ht="43.5" hidden="1" customHeight="1" outlineLevel="1">
      <c r="A229" s="248"/>
      <c r="B229" s="309" t="s">
        <v>293</v>
      </c>
      <c r="C229" s="95"/>
      <c r="D229" s="68"/>
      <c r="E229" s="68"/>
      <c r="F229" s="68"/>
      <c r="G229" s="69" t="s">
        <v>21</v>
      </c>
      <c r="H229" s="115">
        <f t="shared" ref="H229" si="63">-D229/1000*F229/1000</f>
        <v>0</v>
      </c>
      <c r="I229" s="11"/>
      <c r="J229" s="19"/>
      <c r="K229" s="19"/>
      <c r="L229" s="70"/>
      <c r="M229" s="102"/>
    </row>
    <row r="230" spans="1:13" s="132" customFormat="1" ht="79.5" customHeight="1" collapsed="1">
      <c r="A230" s="11">
        <v>20</v>
      </c>
      <c r="B230" s="28" t="s">
        <v>302</v>
      </c>
      <c r="C230" s="36"/>
      <c r="D230" s="40"/>
      <c r="E230" s="11"/>
      <c r="F230" s="11"/>
      <c r="G230" s="11" t="s">
        <v>21</v>
      </c>
      <c r="H230" s="31">
        <f>SUM(H231:H234)</f>
        <v>0</v>
      </c>
      <c r="I230" s="11">
        <v>1</v>
      </c>
      <c r="J230" s="19">
        <v>190000</v>
      </c>
      <c r="K230" s="19">
        <f t="shared" ref="K230" si="64">J230*I230*H230</f>
        <v>0</v>
      </c>
      <c r="L230" s="61" t="s">
        <v>95</v>
      </c>
      <c r="M230" s="102"/>
    </row>
    <row r="231" spans="1:13" s="132" customFormat="1" ht="39.75" hidden="1" customHeight="1" outlineLevel="1">
      <c r="A231" s="247"/>
      <c r="B231" s="52"/>
      <c r="C231" s="32"/>
      <c r="D231" s="30"/>
      <c r="E231" s="30"/>
      <c r="F231" s="30"/>
      <c r="G231" s="33" t="s">
        <v>21</v>
      </c>
      <c r="H231" s="114">
        <f>D231/1000*F231/1000</f>
        <v>0</v>
      </c>
      <c r="I231" s="55"/>
      <c r="J231" s="53"/>
      <c r="K231" s="19"/>
      <c r="L231" s="71"/>
      <c r="M231" s="102"/>
    </row>
    <row r="232" spans="1:13" s="132" customFormat="1" ht="39.75" hidden="1" customHeight="1" outlineLevel="1">
      <c r="A232" s="249"/>
      <c r="B232" s="52"/>
      <c r="C232" s="52"/>
      <c r="D232" s="30"/>
      <c r="E232" s="30"/>
      <c r="F232" s="30"/>
      <c r="G232" s="33" t="s">
        <v>21</v>
      </c>
      <c r="H232" s="114">
        <f>D232/1000*F232/1000</f>
        <v>0</v>
      </c>
      <c r="I232" s="55"/>
      <c r="J232" s="53"/>
      <c r="K232" s="19"/>
      <c r="L232" s="71"/>
      <c r="M232" s="102"/>
    </row>
    <row r="233" spans="1:13" s="132" customFormat="1" ht="39.75" hidden="1" customHeight="1" outlineLevel="1">
      <c r="A233" s="249"/>
      <c r="B233" s="52"/>
      <c r="C233" s="52"/>
      <c r="D233" s="30"/>
      <c r="E233" s="30"/>
      <c r="F233" s="30"/>
      <c r="G233" s="33" t="s">
        <v>21</v>
      </c>
      <c r="H233" s="114">
        <f>D233/1000*F233/1000</f>
        <v>0</v>
      </c>
      <c r="I233" s="55"/>
      <c r="J233" s="53"/>
      <c r="K233" s="19"/>
      <c r="L233" s="71"/>
      <c r="M233" s="102"/>
    </row>
    <row r="234" spans="1:13" s="132" customFormat="1" ht="39.75" hidden="1" customHeight="1" outlineLevel="1">
      <c r="A234" s="248"/>
      <c r="B234" s="309" t="s">
        <v>293</v>
      </c>
      <c r="C234" s="95"/>
      <c r="D234" s="68"/>
      <c r="E234" s="68"/>
      <c r="F234" s="68"/>
      <c r="G234" s="69" t="s">
        <v>21</v>
      </c>
      <c r="H234" s="115">
        <f t="shared" ref="H234" si="65">-D234/1000*F234/1000</f>
        <v>0</v>
      </c>
      <c r="I234" s="55"/>
      <c r="J234" s="53"/>
      <c r="K234" s="19"/>
      <c r="L234" s="71"/>
      <c r="M234" s="102"/>
    </row>
    <row r="235" spans="1:13" s="20" customFormat="1" ht="48.75" customHeight="1" collapsed="1">
      <c r="A235" s="41" t="s">
        <v>97</v>
      </c>
      <c r="B235" s="252" t="s">
        <v>137</v>
      </c>
      <c r="C235" s="252"/>
      <c r="D235" s="252"/>
      <c r="E235" s="252"/>
      <c r="F235" s="252"/>
      <c r="G235" s="252"/>
      <c r="H235" s="252"/>
      <c r="I235" s="252"/>
      <c r="J235" s="252"/>
      <c r="K235" s="58">
        <f>SUM(K236:K258)</f>
        <v>0</v>
      </c>
      <c r="L235" s="59"/>
      <c r="M235" s="101"/>
    </row>
    <row r="236" spans="1:13" s="132" customFormat="1" ht="88.5" customHeight="1">
      <c r="A236" s="82">
        <v>1</v>
      </c>
      <c r="B236" s="12" t="s">
        <v>140</v>
      </c>
      <c r="C236" s="28"/>
      <c r="D236" s="36"/>
      <c r="E236" s="36"/>
      <c r="F236" s="36"/>
      <c r="G236" s="11" t="s">
        <v>21</v>
      </c>
      <c r="H236" s="31">
        <f>SUM(H237:H240)</f>
        <v>0</v>
      </c>
      <c r="I236" s="11">
        <v>1</v>
      </c>
      <c r="J236" s="19">
        <v>360000</v>
      </c>
      <c r="K236" s="53">
        <f t="shared" ref="K236:K258" si="66">J236*I236*H236</f>
        <v>0</v>
      </c>
      <c r="L236" s="56" t="s">
        <v>32</v>
      </c>
      <c r="M236" s="102"/>
    </row>
    <row r="237" spans="1:13" s="132" customFormat="1" ht="53.25" hidden="1" customHeight="1" outlineLevel="1">
      <c r="A237" s="261"/>
      <c r="B237" s="52"/>
      <c r="C237" s="52"/>
      <c r="D237" s="30"/>
      <c r="E237" s="30"/>
      <c r="F237" s="30"/>
      <c r="G237" s="33" t="s">
        <v>21</v>
      </c>
      <c r="H237" s="114">
        <f>D237/1000*F237/1000</f>
        <v>0</v>
      </c>
      <c r="I237" s="11"/>
      <c r="J237" s="19"/>
      <c r="K237" s="53"/>
      <c r="L237" s="51"/>
      <c r="M237" s="102"/>
    </row>
    <row r="238" spans="1:13" s="132" customFormat="1" ht="53.25" hidden="1" customHeight="1" outlineLevel="1">
      <c r="A238" s="262"/>
      <c r="B238" s="52"/>
      <c r="C238" s="28"/>
      <c r="D238" s="30"/>
      <c r="E238" s="30"/>
      <c r="F238" s="30"/>
      <c r="G238" s="33" t="s">
        <v>21</v>
      </c>
      <c r="H238" s="114">
        <f>D238/1000*F238/1000</f>
        <v>0</v>
      </c>
      <c r="I238" s="11"/>
      <c r="J238" s="19"/>
      <c r="K238" s="53"/>
      <c r="L238" s="51"/>
      <c r="M238" s="102"/>
    </row>
    <row r="239" spans="1:13" s="132" customFormat="1" ht="53.25" hidden="1" customHeight="1" outlineLevel="1">
      <c r="A239" s="262"/>
      <c r="B239" s="52"/>
      <c r="C239" s="28"/>
      <c r="D239" s="30"/>
      <c r="E239" s="30"/>
      <c r="F239" s="30"/>
      <c r="G239" s="33" t="s">
        <v>21</v>
      </c>
      <c r="H239" s="114">
        <f>D239/1000*F239/1000</f>
        <v>0</v>
      </c>
      <c r="I239" s="11"/>
      <c r="J239" s="19"/>
      <c r="K239" s="53"/>
      <c r="L239" s="51"/>
      <c r="M239" s="102"/>
    </row>
    <row r="240" spans="1:13" s="132" customFormat="1" ht="53.25" hidden="1" customHeight="1" outlineLevel="1">
      <c r="A240" s="263"/>
      <c r="B240" s="52"/>
      <c r="C240" s="29"/>
      <c r="D240" s="30"/>
      <c r="E240" s="30"/>
      <c r="F240" s="30"/>
      <c r="G240" s="33" t="s">
        <v>21</v>
      </c>
      <c r="H240" s="114">
        <f>D240/1000*F240/1000</f>
        <v>0</v>
      </c>
      <c r="I240" s="11"/>
      <c r="J240" s="19"/>
      <c r="K240" s="53"/>
      <c r="L240" s="51"/>
      <c r="M240" s="102"/>
    </row>
    <row r="241" spans="1:14" s="132" customFormat="1" ht="75.75" customHeight="1" collapsed="1">
      <c r="A241" s="82">
        <v>2</v>
      </c>
      <c r="B241" s="28" t="s">
        <v>83</v>
      </c>
      <c r="C241" s="29"/>
      <c r="D241" s="17"/>
      <c r="E241" s="30"/>
      <c r="F241" s="30"/>
      <c r="G241" s="11" t="s">
        <v>21</v>
      </c>
      <c r="H241" s="112">
        <f>H236*2</f>
        <v>0</v>
      </c>
      <c r="I241" s="11">
        <v>1</v>
      </c>
      <c r="J241" s="19">
        <v>205000</v>
      </c>
      <c r="K241" s="53">
        <f t="shared" si="66"/>
        <v>0</v>
      </c>
      <c r="L241" s="60" t="s">
        <v>31</v>
      </c>
      <c r="M241" s="102"/>
    </row>
    <row r="242" spans="1:14" s="20" customFormat="1" ht="100.5" customHeight="1">
      <c r="A242" s="169">
        <v>3</v>
      </c>
      <c r="B242" s="62" t="s">
        <v>228</v>
      </c>
      <c r="C242" s="194"/>
      <c r="D242" s="77"/>
      <c r="E242" s="161"/>
      <c r="F242" s="161"/>
      <c r="G242" s="55" t="s">
        <v>21</v>
      </c>
      <c r="H242" s="113"/>
      <c r="I242" s="55">
        <v>1</v>
      </c>
      <c r="J242" s="53">
        <v>320000</v>
      </c>
      <c r="K242" s="53">
        <f t="shared" si="66"/>
        <v>0</v>
      </c>
      <c r="L242" s="71" t="s">
        <v>178</v>
      </c>
      <c r="M242" s="101"/>
    </row>
    <row r="243" spans="1:14" s="132" customFormat="1" ht="63" customHeight="1">
      <c r="A243" s="179">
        <v>4</v>
      </c>
      <c r="B243" s="28" t="s">
        <v>165</v>
      </c>
      <c r="C243" s="28"/>
      <c r="D243" s="36"/>
      <c r="E243" s="36"/>
      <c r="F243" s="36"/>
      <c r="G243" s="11" t="s">
        <v>21</v>
      </c>
      <c r="H243" s="112"/>
      <c r="I243" s="11">
        <v>1</v>
      </c>
      <c r="J243" s="19">
        <v>260000</v>
      </c>
      <c r="K243" s="53">
        <f t="shared" si="66"/>
        <v>0</v>
      </c>
      <c r="L243" s="51" t="s">
        <v>33</v>
      </c>
      <c r="M243" s="102"/>
    </row>
    <row r="244" spans="1:14" s="23" customFormat="1" ht="67.5" customHeight="1">
      <c r="A244" s="247">
        <v>5</v>
      </c>
      <c r="B244" s="28" t="s">
        <v>305</v>
      </c>
      <c r="C244" s="28"/>
      <c r="D244" s="44"/>
      <c r="E244" s="44"/>
      <c r="F244" s="44"/>
      <c r="G244" s="11" t="s">
        <v>21</v>
      </c>
      <c r="H244" s="112"/>
      <c r="I244" s="11">
        <v>1</v>
      </c>
      <c r="J244" s="19">
        <v>290000</v>
      </c>
      <c r="K244" s="19">
        <f t="shared" si="66"/>
        <v>0</v>
      </c>
      <c r="L244" s="51" t="s">
        <v>34</v>
      </c>
      <c r="M244" s="101"/>
      <c r="N244" s="24"/>
    </row>
    <row r="245" spans="1:14" s="23" customFormat="1" ht="75" customHeight="1">
      <c r="A245" s="249"/>
      <c r="B245" s="28" t="s">
        <v>306</v>
      </c>
      <c r="C245" s="28"/>
      <c r="D245" s="44"/>
      <c r="E245" s="44"/>
      <c r="F245" s="44"/>
      <c r="G245" s="11" t="s">
        <v>21</v>
      </c>
      <c r="H245" s="112"/>
      <c r="I245" s="15">
        <v>1</v>
      </c>
      <c r="J245" s="19">
        <v>300000</v>
      </c>
      <c r="K245" s="19">
        <f t="shared" si="66"/>
        <v>0</v>
      </c>
      <c r="L245" s="61" t="s">
        <v>90</v>
      </c>
      <c r="M245" s="101"/>
      <c r="N245" s="24"/>
    </row>
    <row r="246" spans="1:14" s="3" customFormat="1" ht="96.75" customHeight="1">
      <c r="A246" s="64">
        <v>6</v>
      </c>
      <c r="B246" s="28" t="s">
        <v>136</v>
      </c>
      <c r="C246" s="28"/>
      <c r="D246" s="36"/>
      <c r="E246" s="40"/>
      <c r="F246" s="11"/>
      <c r="G246" s="11" t="s">
        <v>37</v>
      </c>
      <c r="H246" s="31">
        <f>SUM(H247:H247)</f>
        <v>0</v>
      </c>
      <c r="I246" s="11">
        <v>1</v>
      </c>
      <c r="J246" s="19">
        <v>150000</v>
      </c>
      <c r="K246" s="19">
        <f t="shared" si="66"/>
        <v>0</v>
      </c>
      <c r="L246" s="51" t="s">
        <v>38</v>
      </c>
      <c r="M246" s="107"/>
    </row>
    <row r="247" spans="1:14" s="25" customFormat="1" ht="47.25" hidden="1" customHeight="1" outlineLevel="1">
      <c r="A247" s="163"/>
      <c r="B247" s="29"/>
      <c r="C247" s="29"/>
      <c r="D247" s="30"/>
      <c r="E247" s="65"/>
      <c r="F247" s="33"/>
      <c r="G247" s="33" t="s">
        <v>37</v>
      </c>
      <c r="H247" s="114">
        <f t="shared" ref="H247" si="67">D247/1000*1.1</f>
        <v>0</v>
      </c>
      <c r="I247" s="33"/>
      <c r="J247" s="19"/>
      <c r="K247" s="19"/>
      <c r="L247" s="29"/>
      <c r="M247" s="107"/>
    </row>
    <row r="248" spans="1:14" s="23" customFormat="1" ht="89.25" customHeight="1" collapsed="1">
      <c r="A248" s="35">
        <v>7</v>
      </c>
      <c r="B248" s="62" t="s">
        <v>307</v>
      </c>
      <c r="C248" s="62"/>
      <c r="D248" s="44"/>
      <c r="E248" s="44"/>
      <c r="F248" s="44"/>
      <c r="G248" s="55" t="s">
        <v>20</v>
      </c>
      <c r="H248" s="63">
        <v>1</v>
      </c>
      <c r="I248" s="55">
        <v>1</v>
      </c>
      <c r="J248" s="19"/>
      <c r="K248" s="19">
        <f t="shared" ref="K248" si="68">J248*I248*H248</f>
        <v>0</v>
      </c>
      <c r="L248" s="71" t="s">
        <v>36</v>
      </c>
      <c r="M248" s="102"/>
    </row>
    <row r="249" spans="1:14" s="132" customFormat="1" ht="63" customHeight="1">
      <c r="A249" s="11">
        <v>8</v>
      </c>
      <c r="B249" s="62" t="s">
        <v>74</v>
      </c>
      <c r="C249" s="109"/>
      <c r="D249" s="44"/>
      <c r="E249" s="92"/>
      <c r="F249" s="55"/>
      <c r="G249" s="55" t="s">
        <v>21</v>
      </c>
      <c r="H249" s="113"/>
      <c r="I249" s="55">
        <v>1</v>
      </c>
      <c r="J249" s="53">
        <v>35000</v>
      </c>
      <c r="K249" s="53">
        <f t="shared" si="66"/>
        <v>0</v>
      </c>
      <c r="L249" s="62" t="s">
        <v>44</v>
      </c>
      <c r="M249" s="135"/>
    </row>
    <row r="250" spans="1:14" s="21" customFormat="1" ht="89.25" customHeight="1">
      <c r="A250" s="11">
        <v>9</v>
      </c>
      <c r="B250" s="28" t="s">
        <v>308</v>
      </c>
      <c r="C250" s="36"/>
      <c r="D250" s="40"/>
      <c r="E250" s="11"/>
      <c r="F250" s="11"/>
      <c r="G250" s="11" t="s">
        <v>21</v>
      </c>
      <c r="H250" s="31">
        <f>SUM(H251:H252)</f>
        <v>0</v>
      </c>
      <c r="I250" s="11">
        <v>1</v>
      </c>
      <c r="J250" s="19">
        <v>190000</v>
      </c>
      <c r="K250" s="53">
        <f t="shared" si="66"/>
        <v>0</v>
      </c>
      <c r="L250" s="61" t="s">
        <v>95</v>
      </c>
      <c r="M250" s="135"/>
    </row>
    <row r="251" spans="1:14" s="21" customFormat="1" ht="70.5" hidden="1" customHeight="1" outlineLevel="1">
      <c r="A251" s="247"/>
      <c r="B251" s="29"/>
      <c r="C251" s="146"/>
      <c r="D251" s="30"/>
      <c r="E251" s="30"/>
      <c r="F251" s="30"/>
      <c r="G251" s="33" t="s">
        <v>21</v>
      </c>
      <c r="H251" s="114">
        <f>D251/1000*F251/1000</f>
        <v>0</v>
      </c>
      <c r="I251" s="19"/>
      <c r="J251" s="147"/>
      <c r="K251" s="53"/>
      <c r="L251" s="28"/>
      <c r="M251" s="135"/>
    </row>
    <row r="252" spans="1:14" s="21" customFormat="1" ht="54.75" hidden="1" customHeight="1" outlineLevel="1">
      <c r="A252" s="249"/>
      <c r="B252" s="29"/>
      <c r="C252" s="146"/>
      <c r="D252" s="30"/>
      <c r="E252" s="30"/>
      <c r="F252" s="30"/>
      <c r="G252" s="33" t="s">
        <v>21</v>
      </c>
      <c r="H252" s="114">
        <f t="shared" ref="H252" si="69">D252/1000*F252/1000</f>
        <v>0</v>
      </c>
      <c r="I252" s="19"/>
      <c r="J252" s="147"/>
      <c r="K252" s="53"/>
      <c r="L252" s="28"/>
      <c r="M252" s="135"/>
    </row>
    <row r="253" spans="1:14" s="21" customFormat="1" ht="137.25" customHeight="1" collapsed="1">
      <c r="A253" s="11">
        <v>10</v>
      </c>
      <c r="B253" s="62" t="s">
        <v>309</v>
      </c>
      <c r="C253" s="212"/>
      <c r="D253" s="92"/>
      <c r="E253" s="55"/>
      <c r="F253" s="55"/>
      <c r="G253" s="92" t="s">
        <v>21</v>
      </c>
      <c r="H253" s="113"/>
      <c r="I253" s="55">
        <v>1</v>
      </c>
      <c r="J253" s="53">
        <v>275000</v>
      </c>
      <c r="K253" s="19">
        <f t="shared" ref="K253" si="70">J253*I253*H253</f>
        <v>0</v>
      </c>
      <c r="L253" s="157" t="s">
        <v>237</v>
      </c>
      <c r="M253" s="135"/>
    </row>
    <row r="254" spans="1:14" s="132" customFormat="1" ht="93.75" customHeight="1">
      <c r="A254" s="82">
        <v>11</v>
      </c>
      <c r="B254" s="28" t="s">
        <v>310</v>
      </c>
      <c r="C254" s="138"/>
      <c r="D254" s="36"/>
      <c r="E254" s="36"/>
      <c r="F254" s="36"/>
      <c r="G254" s="11" t="s">
        <v>21</v>
      </c>
      <c r="H254" s="43">
        <f>D254/1000*E254/1000</f>
        <v>0</v>
      </c>
      <c r="I254" s="11">
        <v>1</v>
      </c>
      <c r="J254" s="19"/>
      <c r="K254" s="53">
        <f t="shared" si="66"/>
        <v>0</v>
      </c>
      <c r="L254" s="60"/>
      <c r="M254" s="102"/>
    </row>
    <row r="255" spans="1:14" s="132" customFormat="1" ht="76.5" customHeight="1">
      <c r="A255" s="82">
        <v>12</v>
      </c>
      <c r="B255" s="28" t="s">
        <v>168</v>
      </c>
      <c r="C255" s="153" t="s">
        <v>169</v>
      </c>
      <c r="D255" s="36"/>
      <c r="E255" s="36"/>
      <c r="F255" s="36"/>
      <c r="G255" s="11" t="s">
        <v>22</v>
      </c>
      <c r="H255" s="43">
        <v>1</v>
      </c>
      <c r="I255" s="11">
        <v>1</v>
      </c>
      <c r="J255" s="19"/>
      <c r="K255" s="53">
        <f t="shared" si="66"/>
        <v>0</v>
      </c>
      <c r="L255" s="152"/>
      <c r="M255" s="102"/>
    </row>
    <row r="256" spans="1:14" s="132" customFormat="1" ht="92.25" customHeight="1">
      <c r="A256" s="82">
        <v>13</v>
      </c>
      <c r="B256" s="28" t="s">
        <v>229</v>
      </c>
      <c r="C256" s="138"/>
      <c r="D256" s="36"/>
      <c r="E256" s="36"/>
      <c r="F256" s="36"/>
      <c r="G256" s="11" t="s">
        <v>21</v>
      </c>
      <c r="H256" s="112"/>
      <c r="I256" s="11">
        <v>1</v>
      </c>
      <c r="J256" s="19">
        <v>890000</v>
      </c>
      <c r="K256" s="53">
        <f t="shared" si="66"/>
        <v>0</v>
      </c>
      <c r="L256" s="227" t="s">
        <v>192</v>
      </c>
      <c r="M256" s="102"/>
    </row>
    <row r="257" spans="1:13" s="132" customFormat="1" ht="62.25" customHeight="1">
      <c r="A257" s="82">
        <v>14</v>
      </c>
      <c r="B257" s="28" t="s">
        <v>150</v>
      </c>
      <c r="C257" s="138"/>
      <c r="D257" s="36"/>
      <c r="E257" s="36"/>
      <c r="F257" s="36"/>
      <c r="G257" s="11" t="s">
        <v>37</v>
      </c>
      <c r="H257" s="43">
        <f>D257/1000</f>
        <v>0</v>
      </c>
      <c r="I257" s="11">
        <v>1</v>
      </c>
      <c r="J257" s="19">
        <v>220000</v>
      </c>
      <c r="K257" s="53">
        <f t="shared" si="66"/>
        <v>0</v>
      </c>
      <c r="L257" s="72" t="s">
        <v>151</v>
      </c>
      <c r="M257" s="101"/>
    </row>
    <row r="258" spans="1:13" s="20" customFormat="1" ht="84" customHeight="1">
      <c r="A258" s="82">
        <v>15</v>
      </c>
      <c r="B258" s="62" t="s">
        <v>230</v>
      </c>
      <c r="C258" s="193"/>
      <c r="D258" s="44"/>
      <c r="E258" s="44"/>
      <c r="F258" s="44"/>
      <c r="G258" s="55" t="s">
        <v>37</v>
      </c>
      <c r="H258" s="165">
        <f>D258/1000</f>
        <v>0</v>
      </c>
      <c r="I258" s="55">
        <v>1</v>
      </c>
      <c r="J258" s="53">
        <v>480000</v>
      </c>
      <c r="K258" s="53">
        <f t="shared" si="66"/>
        <v>0</v>
      </c>
      <c r="L258" s="166" t="s">
        <v>151</v>
      </c>
      <c r="M258" s="101"/>
    </row>
    <row r="259" spans="1:13" s="20" customFormat="1" ht="48.75" customHeight="1" collapsed="1">
      <c r="A259" s="41" t="s">
        <v>101</v>
      </c>
      <c r="B259" s="252" t="s">
        <v>179</v>
      </c>
      <c r="C259" s="252"/>
      <c r="D259" s="252"/>
      <c r="E259" s="252"/>
      <c r="F259" s="252"/>
      <c r="G259" s="252"/>
      <c r="H259" s="252"/>
      <c r="I259" s="252"/>
      <c r="J259" s="252"/>
      <c r="K259" s="58">
        <f>SUM(K260:K306)</f>
        <v>0</v>
      </c>
      <c r="L259" s="59"/>
      <c r="M259" s="102"/>
    </row>
    <row r="260" spans="1:13" s="132" customFormat="1" ht="93.75" customHeight="1">
      <c r="A260" s="82">
        <v>1</v>
      </c>
      <c r="B260" s="28" t="s">
        <v>233</v>
      </c>
      <c r="C260" s="42"/>
      <c r="D260" s="36"/>
      <c r="E260" s="36"/>
      <c r="F260" s="36"/>
      <c r="G260" s="11" t="s">
        <v>21</v>
      </c>
      <c r="H260" s="43"/>
      <c r="I260" s="11">
        <v>1</v>
      </c>
      <c r="J260" s="19">
        <v>205000</v>
      </c>
      <c r="K260" s="19">
        <f>J260*I260*H260</f>
        <v>0</v>
      </c>
      <c r="L260" s="60" t="s">
        <v>297</v>
      </c>
      <c r="M260" s="102"/>
    </row>
    <row r="261" spans="1:13" s="3" customFormat="1" ht="99" customHeight="1">
      <c r="A261" s="64">
        <v>2</v>
      </c>
      <c r="B261" s="62" t="s">
        <v>311</v>
      </c>
      <c r="C261" s="195"/>
      <c r="D261" s="44"/>
      <c r="E261" s="44"/>
      <c r="F261" s="44"/>
      <c r="G261" s="55" t="s">
        <v>22</v>
      </c>
      <c r="H261" s="113">
        <v>1</v>
      </c>
      <c r="I261" s="55">
        <v>1</v>
      </c>
      <c r="J261" s="53"/>
      <c r="K261" s="19">
        <f t="shared" ref="K261:K303" si="71">J261*I261*H261</f>
        <v>0</v>
      </c>
      <c r="L261" s="71" t="s">
        <v>32</v>
      </c>
      <c r="M261" s="102"/>
    </row>
    <row r="262" spans="1:13" s="3" customFormat="1" ht="99" customHeight="1">
      <c r="A262" s="64">
        <v>3</v>
      </c>
      <c r="B262" s="62" t="s">
        <v>312</v>
      </c>
      <c r="C262" s="167"/>
      <c r="D262" s="44"/>
      <c r="E262" s="44"/>
      <c r="F262" s="44"/>
      <c r="G262" s="55" t="s">
        <v>22</v>
      </c>
      <c r="H262" s="113">
        <v>1</v>
      </c>
      <c r="I262" s="55">
        <v>1</v>
      </c>
      <c r="J262" s="53"/>
      <c r="K262" s="19">
        <f t="shared" si="71"/>
        <v>0</v>
      </c>
      <c r="L262" s="71" t="s">
        <v>32</v>
      </c>
      <c r="M262" s="102"/>
    </row>
    <row r="263" spans="1:13" s="3" customFormat="1" ht="96" customHeight="1">
      <c r="A263" s="15">
        <v>4</v>
      </c>
      <c r="B263" s="12" t="s">
        <v>234</v>
      </c>
      <c r="C263" s="28"/>
      <c r="D263" s="36"/>
      <c r="E263" s="36"/>
      <c r="F263" s="36"/>
      <c r="G263" s="11" t="s">
        <v>21</v>
      </c>
      <c r="H263" s="31"/>
      <c r="I263" s="11">
        <v>1</v>
      </c>
      <c r="J263" s="19">
        <v>360000</v>
      </c>
      <c r="K263" s="19">
        <f t="shared" si="71"/>
        <v>0</v>
      </c>
      <c r="L263" s="56" t="s">
        <v>32</v>
      </c>
      <c r="M263" s="155"/>
    </row>
    <row r="264" spans="1:13" s="22" customFormat="1" ht="56.25" hidden="1" customHeight="1" outlineLevel="1">
      <c r="A264" s="253"/>
      <c r="B264" s="29"/>
      <c r="C264" s="29"/>
      <c r="D264" s="30"/>
      <c r="E264" s="30"/>
      <c r="F264" s="30"/>
      <c r="G264" s="33" t="s">
        <v>21</v>
      </c>
      <c r="H264" s="114">
        <f t="shared" ref="H264:H265" si="72">D264/1000*F264/1000</f>
        <v>0</v>
      </c>
      <c r="I264" s="33"/>
      <c r="J264" s="50"/>
      <c r="K264" s="19">
        <f t="shared" si="71"/>
        <v>0</v>
      </c>
      <c r="L264" s="154"/>
      <c r="M264" s="155"/>
    </row>
    <row r="265" spans="1:13" s="22" customFormat="1" ht="56.25" hidden="1" customHeight="1" outlineLevel="1">
      <c r="A265" s="254"/>
      <c r="B265" s="29"/>
      <c r="C265" s="29"/>
      <c r="D265" s="30"/>
      <c r="E265" s="30"/>
      <c r="F265" s="30"/>
      <c r="G265" s="33" t="s">
        <v>21</v>
      </c>
      <c r="H265" s="114">
        <f t="shared" si="72"/>
        <v>0</v>
      </c>
      <c r="I265" s="33"/>
      <c r="J265" s="50"/>
      <c r="K265" s="19"/>
      <c r="L265" s="154"/>
      <c r="M265" s="155"/>
    </row>
    <row r="266" spans="1:13" s="234" customFormat="1" ht="56.25" hidden="1" customHeight="1" outlineLevel="1">
      <c r="A266" s="254"/>
      <c r="B266" s="309" t="s">
        <v>293</v>
      </c>
      <c r="C266" s="70"/>
      <c r="D266" s="68"/>
      <c r="E266" s="68"/>
      <c r="F266" s="68"/>
      <c r="G266" s="69" t="s">
        <v>21</v>
      </c>
      <c r="H266" s="115">
        <f>-D266/1000*F266/1000</f>
        <v>0</v>
      </c>
      <c r="I266" s="69"/>
      <c r="J266" s="230"/>
      <c r="K266" s="231"/>
      <c r="L266" s="232"/>
      <c r="M266" s="233"/>
    </row>
    <row r="267" spans="1:13" s="22" customFormat="1" ht="56.25" hidden="1" customHeight="1" outlineLevel="1">
      <c r="A267" s="255"/>
      <c r="B267" s="29"/>
      <c r="C267" s="29"/>
      <c r="D267" s="30"/>
      <c r="E267" s="30"/>
      <c r="F267" s="30"/>
      <c r="G267" s="33" t="s">
        <v>21</v>
      </c>
      <c r="H267" s="114">
        <f t="shared" ref="H267" si="73">D267/1000*F267/1000</f>
        <v>0</v>
      </c>
      <c r="I267" s="33"/>
      <c r="J267" s="50"/>
      <c r="K267" s="19"/>
      <c r="L267" s="154"/>
      <c r="M267" s="155"/>
    </row>
    <row r="268" spans="1:13" s="22" customFormat="1" ht="98.25" customHeight="1" collapsed="1">
      <c r="A268" s="15">
        <v>5</v>
      </c>
      <c r="B268" s="12" t="s">
        <v>235</v>
      </c>
      <c r="C268" s="28"/>
      <c r="D268" s="36"/>
      <c r="E268" s="36"/>
      <c r="F268" s="36"/>
      <c r="G268" s="11" t="s">
        <v>21</v>
      </c>
      <c r="H268" s="31"/>
      <c r="I268" s="11">
        <v>1</v>
      </c>
      <c r="J268" s="19">
        <v>720000</v>
      </c>
      <c r="K268" s="19">
        <f t="shared" si="71"/>
        <v>0</v>
      </c>
      <c r="L268" s="56" t="s">
        <v>32</v>
      </c>
      <c r="M268" s="155"/>
    </row>
    <row r="269" spans="1:13" s="22" customFormat="1" ht="48" hidden="1" customHeight="1" outlineLevel="1">
      <c r="A269" s="253"/>
      <c r="B269" s="29"/>
      <c r="C269" s="29"/>
      <c r="D269" s="30"/>
      <c r="E269" s="30"/>
      <c r="F269" s="30"/>
      <c r="G269" s="33" t="s">
        <v>21</v>
      </c>
      <c r="H269" s="114">
        <f t="shared" ref="H269" si="74">D269/1000*F269/1000</f>
        <v>0</v>
      </c>
      <c r="I269" s="11"/>
      <c r="J269" s="19"/>
      <c r="K269" s="19">
        <f t="shared" si="71"/>
        <v>0</v>
      </c>
      <c r="L269" s="56"/>
      <c r="M269" s="155"/>
    </row>
    <row r="270" spans="1:13" s="22" customFormat="1" ht="48" hidden="1" customHeight="1" outlineLevel="2">
      <c r="A270" s="254"/>
      <c r="B270" s="29"/>
      <c r="C270" s="29"/>
      <c r="D270" s="30"/>
      <c r="E270" s="30"/>
      <c r="F270" s="30"/>
      <c r="G270" s="33" t="s">
        <v>21</v>
      </c>
      <c r="H270" s="114">
        <f t="shared" ref="H270" si="75">D270/1000*F270/1000</f>
        <v>0</v>
      </c>
      <c r="I270" s="33"/>
      <c r="J270" s="50"/>
      <c r="K270" s="19">
        <f t="shared" si="71"/>
        <v>0</v>
      </c>
      <c r="L270" s="154"/>
      <c r="M270" s="155"/>
    </row>
    <row r="271" spans="1:13" s="22" customFormat="1" ht="48" hidden="1" customHeight="1" outlineLevel="2">
      <c r="A271" s="254"/>
      <c r="B271" s="309" t="s">
        <v>293</v>
      </c>
      <c r="C271" s="70"/>
      <c r="D271" s="68"/>
      <c r="E271" s="68"/>
      <c r="F271" s="68"/>
      <c r="G271" s="69" t="s">
        <v>21</v>
      </c>
      <c r="H271" s="115">
        <f>-D271/1000*F271/1000</f>
        <v>0</v>
      </c>
      <c r="I271" s="33"/>
      <c r="J271" s="50"/>
      <c r="K271" s="19"/>
      <c r="L271" s="154"/>
      <c r="M271" s="155"/>
    </row>
    <row r="272" spans="1:13" s="22" customFormat="1" ht="48" hidden="1" customHeight="1" outlineLevel="2">
      <c r="A272" s="255"/>
      <c r="B272" s="29"/>
      <c r="C272" s="29"/>
      <c r="D272" s="30"/>
      <c r="E272" s="30"/>
      <c r="F272" s="30"/>
      <c r="G272" s="33" t="s">
        <v>21</v>
      </c>
      <c r="H272" s="114">
        <f t="shared" ref="H272" si="76">D272/1000*F272/1000</f>
        <v>0</v>
      </c>
      <c r="I272" s="33"/>
      <c r="J272" s="50"/>
      <c r="K272" s="19">
        <f t="shared" si="71"/>
        <v>0</v>
      </c>
      <c r="L272" s="154"/>
      <c r="M272" s="102"/>
    </row>
    <row r="273" spans="1:13" s="3" customFormat="1" ht="93.75" customHeight="1" collapsed="1">
      <c r="A273" s="15">
        <v>6</v>
      </c>
      <c r="B273" s="28" t="s">
        <v>83</v>
      </c>
      <c r="C273" s="29"/>
      <c r="D273" s="17"/>
      <c r="E273" s="30"/>
      <c r="F273" s="30"/>
      <c r="G273" s="11" t="s">
        <v>21</v>
      </c>
      <c r="H273" s="112"/>
      <c r="I273" s="11">
        <v>1</v>
      </c>
      <c r="J273" s="19">
        <v>205000</v>
      </c>
      <c r="K273" s="19">
        <f t="shared" si="71"/>
        <v>0</v>
      </c>
      <c r="L273" s="60" t="s">
        <v>31</v>
      </c>
      <c r="M273" s="102"/>
    </row>
    <row r="274" spans="1:13" s="23" customFormat="1" ht="91.5" customHeight="1">
      <c r="A274" s="15">
        <v>7</v>
      </c>
      <c r="B274" s="62" t="s">
        <v>313</v>
      </c>
      <c r="C274" s="194"/>
      <c r="D274" s="77"/>
      <c r="E274" s="161"/>
      <c r="F274" s="161"/>
      <c r="G274" s="55" t="s">
        <v>22</v>
      </c>
      <c r="H274" s="113">
        <v>1</v>
      </c>
      <c r="I274" s="55">
        <v>1</v>
      </c>
      <c r="J274" s="53"/>
      <c r="K274" s="19">
        <f t="shared" si="71"/>
        <v>0</v>
      </c>
      <c r="L274" s="71" t="s">
        <v>32</v>
      </c>
      <c r="M274" s="101"/>
    </row>
    <row r="275" spans="1:13" s="23" customFormat="1" ht="125.25" customHeight="1">
      <c r="A275" s="15">
        <v>8</v>
      </c>
      <c r="B275" s="158" t="s">
        <v>314</v>
      </c>
      <c r="C275" s="194"/>
      <c r="D275" s="77"/>
      <c r="E275" s="161"/>
      <c r="F275" s="161"/>
      <c r="G275" s="55" t="s">
        <v>37</v>
      </c>
      <c r="H275" s="113">
        <f>D275/1000</f>
        <v>0</v>
      </c>
      <c r="I275" s="55">
        <v>1</v>
      </c>
      <c r="J275" s="53">
        <v>550000</v>
      </c>
      <c r="K275" s="19">
        <f t="shared" si="71"/>
        <v>0</v>
      </c>
      <c r="L275" s="166" t="s">
        <v>31</v>
      </c>
      <c r="M275" s="101"/>
    </row>
    <row r="276" spans="1:13" s="23" customFormat="1" ht="80.25" customHeight="1">
      <c r="A276" s="35">
        <v>9</v>
      </c>
      <c r="B276" s="28" t="s">
        <v>219</v>
      </c>
      <c r="C276" s="28"/>
      <c r="D276" s="36"/>
      <c r="E276" s="36"/>
      <c r="F276" s="36"/>
      <c r="G276" s="11" t="s">
        <v>21</v>
      </c>
      <c r="H276" s="112"/>
      <c r="I276" s="11">
        <v>1</v>
      </c>
      <c r="J276" s="19">
        <v>260000</v>
      </c>
      <c r="K276" s="19">
        <f t="shared" ref="K276" si="77">J276*I276*H276</f>
        <v>0</v>
      </c>
      <c r="L276" s="51" t="s">
        <v>33</v>
      </c>
      <c r="M276" s="101"/>
    </row>
    <row r="277" spans="1:13" s="3" customFormat="1" ht="75.75" customHeight="1">
      <c r="A277" s="253">
        <v>10</v>
      </c>
      <c r="B277" s="28" t="s">
        <v>315</v>
      </c>
      <c r="C277" s="181"/>
      <c r="D277" s="17"/>
      <c r="E277" s="17"/>
      <c r="F277" s="17"/>
      <c r="G277" s="11" t="s">
        <v>21</v>
      </c>
      <c r="H277" s="112">
        <f>SUM(H278:H279)</f>
        <v>0</v>
      </c>
      <c r="I277" s="11">
        <v>1</v>
      </c>
      <c r="J277" s="19"/>
      <c r="K277" s="19">
        <f t="shared" si="71"/>
        <v>0</v>
      </c>
      <c r="L277" s="60"/>
      <c r="M277" s="102"/>
    </row>
    <row r="278" spans="1:13" s="3" customFormat="1" ht="48" hidden="1" customHeight="1" outlineLevel="1">
      <c r="A278" s="254"/>
      <c r="B278" s="29"/>
      <c r="C278" s="37"/>
      <c r="D278" s="30"/>
      <c r="E278" s="30"/>
      <c r="F278" s="30"/>
      <c r="G278" s="33" t="s">
        <v>21</v>
      </c>
      <c r="H278" s="114">
        <f>D278/1000*E278/1000</f>
        <v>0</v>
      </c>
      <c r="I278" s="33"/>
      <c r="J278" s="50"/>
      <c r="K278" s="19"/>
      <c r="L278" s="60"/>
      <c r="M278" s="102"/>
    </row>
    <row r="279" spans="1:13" s="3" customFormat="1" ht="48" hidden="1" customHeight="1" outlineLevel="1">
      <c r="A279" s="254"/>
      <c r="B279" s="29"/>
      <c r="C279" s="37"/>
      <c r="D279" s="30"/>
      <c r="E279" s="30"/>
      <c r="F279" s="30"/>
      <c r="G279" s="33" t="s">
        <v>21</v>
      </c>
      <c r="H279" s="114">
        <f>D279/1000*E279/1000*3</f>
        <v>0</v>
      </c>
      <c r="I279" s="33"/>
      <c r="J279" s="50"/>
      <c r="K279" s="19"/>
      <c r="L279" s="60"/>
      <c r="M279" s="102"/>
    </row>
    <row r="280" spans="1:13" s="3" customFormat="1" ht="81.75" customHeight="1" collapsed="1">
      <c r="A280" s="254"/>
      <c r="B280" s="28" t="s">
        <v>189</v>
      </c>
      <c r="C280" s="52"/>
      <c r="D280" s="17"/>
      <c r="E280" s="17"/>
      <c r="F280" s="17"/>
      <c r="G280" s="11" t="s">
        <v>21</v>
      </c>
      <c r="H280" s="112">
        <f>H282</f>
        <v>0</v>
      </c>
      <c r="I280" s="11">
        <v>1</v>
      </c>
      <c r="J280" s="19"/>
      <c r="K280" s="19">
        <f t="shared" ref="K280" si="78">J280*I280*H280</f>
        <v>0</v>
      </c>
      <c r="L280" s="60"/>
      <c r="M280" s="155"/>
    </row>
    <row r="281" spans="1:13" s="22" customFormat="1" ht="64.5" hidden="1" customHeight="1" outlineLevel="1">
      <c r="A281" s="254"/>
      <c r="B281" s="29"/>
      <c r="C281" s="37"/>
      <c r="D281" s="30"/>
      <c r="E281" s="30"/>
      <c r="F281" s="30"/>
      <c r="G281" s="33" t="s">
        <v>21</v>
      </c>
      <c r="H281" s="114">
        <f>D281/1000*E281/1000*3</f>
        <v>0</v>
      </c>
      <c r="I281" s="33"/>
      <c r="J281" s="50"/>
      <c r="K281" s="19"/>
      <c r="L281" s="154"/>
      <c r="M281" s="155"/>
    </row>
    <row r="282" spans="1:13" s="23" customFormat="1" ht="81.75" customHeight="1" collapsed="1">
      <c r="A282" s="255"/>
      <c r="B282" s="62" t="s">
        <v>199</v>
      </c>
      <c r="C282" s="194"/>
      <c r="D282" s="77"/>
      <c r="E282" s="77"/>
      <c r="F282" s="77"/>
      <c r="G282" s="55" t="s">
        <v>37</v>
      </c>
      <c r="H282" s="113">
        <f>D282/1000</f>
        <v>0</v>
      </c>
      <c r="I282" s="55">
        <v>1</v>
      </c>
      <c r="J282" s="53"/>
      <c r="K282" s="19">
        <f t="shared" si="71"/>
        <v>0</v>
      </c>
      <c r="L282" s="166"/>
      <c r="M282" s="101"/>
    </row>
    <row r="283" spans="1:13" s="3" customFormat="1" ht="60.75" customHeight="1">
      <c r="A283" s="253">
        <v>11</v>
      </c>
      <c r="B283" s="28" t="s">
        <v>183</v>
      </c>
      <c r="C283" s="28"/>
      <c r="D283" s="44"/>
      <c r="E283" s="44"/>
      <c r="F283" s="44"/>
      <c r="G283" s="11" t="s">
        <v>21</v>
      </c>
      <c r="H283" s="112"/>
      <c r="I283" s="11">
        <v>1</v>
      </c>
      <c r="J283" s="19">
        <v>290000</v>
      </c>
      <c r="K283" s="19">
        <f t="shared" si="71"/>
        <v>0</v>
      </c>
      <c r="L283" s="51" t="s">
        <v>34</v>
      </c>
      <c r="M283" s="102"/>
    </row>
    <row r="284" spans="1:13" s="3" customFormat="1" ht="111" customHeight="1">
      <c r="A284" s="255"/>
      <c r="B284" s="28" t="s">
        <v>316</v>
      </c>
      <c r="C284" s="181"/>
      <c r="D284" s="36"/>
      <c r="E284" s="36"/>
      <c r="F284" s="36"/>
      <c r="G284" s="11" t="s">
        <v>21</v>
      </c>
      <c r="H284" s="112"/>
      <c r="I284" s="15">
        <v>1</v>
      </c>
      <c r="J284" s="19">
        <v>300000</v>
      </c>
      <c r="K284" s="19">
        <f t="shared" si="71"/>
        <v>0</v>
      </c>
      <c r="L284" s="61" t="s">
        <v>90</v>
      </c>
      <c r="M284" s="102"/>
    </row>
    <row r="285" spans="1:13" s="3" customFormat="1" ht="64.5" customHeight="1">
      <c r="A285" s="253">
        <v>12</v>
      </c>
      <c r="B285" s="28" t="s">
        <v>76</v>
      </c>
      <c r="C285" s="45"/>
      <c r="D285" s="36"/>
      <c r="E285"/>
      <c r="F285" s="36"/>
      <c r="G285" s="11" t="s">
        <v>21</v>
      </c>
      <c r="H285" s="112"/>
      <c r="I285" s="11">
        <v>1</v>
      </c>
      <c r="J285" s="19">
        <v>320000</v>
      </c>
      <c r="K285" s="19">
        <f t="shared" si="71"/>
        <v>0</v>
      </c>
      <c r="L285" s="51" t="s">
        <v>35</v>
      </c>
      <c r="M285" s="102"/>
    </row>
    <row r="286" spans="1:13" s="3" customFormat="1" ht="90.75" customHeight="1">
      <c r="A286" s="255"/>
      <c r="B286" s="28" t="s">
        <v>292</v>
      </c>
      <c r="C286" s="181"/>
      <c r="D286" s="36"/>
      <c r="E286" s="36"/>
      <c r="F286" s="36"/>
      <c r="G286" s="11" t="s">
        <v>21</v>
      </c>
      <c r="H286" s="112"/>
      <c r="I286" s="15">
        <v>1</v>
      </c>
      <c r="J286" s="19">
        <v>300000</v>
      </c>
      <c r="K286" s="19">
        <f t="shared" si="71"/>
        <v>0</v>
      </c>
      <c r="L286" s="61" t="s">
        <v>90</v>
      </c>
      <c r="M286" s="102"/>
    </row>
    <row r="287" spans="1:13" s="3" customFormat="1" ht="99" customHeight="1">
      <c r="A287" s="15">
        <v>13</v>
      </c>
      <c r="B287" s="28" t="s">
        <v>214</v>
      </c>
      <c r="C287" s="28"/>
      <c r="D287" s="36"/>
      <c r="E287" s="40"/>
      <c r="F287" s="11"/>
      <c r="G287" s="11" t="s">
        <v>37</v>
      </c>
      <c r="H287" s="31"/>
      <c r="I287" s="11">
        <v>1</v>
      </c>
      <c r="J287" s="19">
        <v>150000</v>
      </c>
      <c r="K287" s="19">
        <f t="shared" ref="K287" si="79">J287*I287*H287</f>
        <v>0</v>
      </c>
      <c r="L287" s="51" t="s">
        <v>38</v>
      </c>
      <c r="M287" s="102"/>
    </row>
    <row r="288" spans="1:13" s="3" customFormat="1" ht="81.75" customHeight="1">
      <c r="A288" s="15">
        <v>14</v>
      </c>
      <c r="B288" s="62" t="s">
        <v>184</v>
      </c>
      <c r="C288" s="62"/>
      <c r="D288" s="44"/>
      <c r="E288" s="44"/>
      <c r="F288" s="44"/>
      <c r="G288" s="55" t="s">
        <v>20</v>
      </c>
      <c r="H288" s="63">
        <v>1</v>
      </c>
      <c r="I288" s="55">
        <v>1</v>
      </c>
      <c r="J288" s="53"/>
      <c r="K288" s="19">
        <f t="shared" si="71"/>
        <v>0</v>
      </c>
      <c r="L288" s="71" t="s">
        <v>36</v>
      </c>
      <c r="M288" s="102"/>
    </row>
    <row r="289" spans="1:13" s="132" customFormat="1" ht="104.25" customHeight="1">
      <c r="A289" s="169">
        <v>15</v>
      </c>
      <c r="B289" s="62" t="s">
        <v>317</v>
      </c>
      <c r="C289" s="212"/>
      <c r="D289" s="44"/>
      <c r="E289" s="44"/>
      <c r="F289" s="44"/>
      <c r="G289" s="55" t="s">
        <v>21</v>
      </c>
      <c r="H289" s="165">
        <f>D289/1000*E289/1000</f>
        <v>0</v>
      </c>
      <c r="I289" s="55">
        <v>1</v>
      </c>
      <c r="J289" s="53"/>
      <c r="K289" s="19">
        <f t="shared" si="71"/>
        <v>0</v>
      </c>
      <c r="L289" s="166"/>
      <c r="M289" s="108"/>
    </row>
    <row r="290" spans="1:13" s="20" customFormat="1" ht="80.25" customHeight="1">
      <c r="A290" s="250">
        <v>16</v>
      </c>
      <c r="B290" s="62" t="s">
        <v>318</v>
      </c>
      <c r="C290" s="222"/>
      <c r="D290" s="44"/>
      <c r="E290" s="44"/>
      <c r="F290" s="44"/>
      <c r="G290" s="55" t="s">
        <v>21</v>
      </c>
      <c r="H290" s="165">
        <f>D290/1000*E290/1000</f>
        <v>0</v>
      </c>
      <c r="I290" s="55">
        <v>1</v>
      </c>
      <c r="J290" s="53"/>
      <c r="K290" s="19">
        <f t="shared" si="71"/>
        <v>0</v>
      </c>
      <c r="L290" s="214" t="s">
        <v>195</v>
      </c>
      <c r="M290" s="108"/>
    </row>
    <row r="291" spans="1:13" s="20" customFormat="1" ht="82.5" customHeight="1">
      <c r="A291" s="251"/>
      <c r="B291" s="62" t="s">
        <v>194</v>
      </c>
      <c r="C291" s="212"/>
      <c r="D291" s="44"/>
      <c r="E291" s="44"/>
      <c r="F291" s="44"/>
      <c r="G291" s="55" t="s">
        <v>37</v>
      </c>
      <c r="H291" s="165">
        <f>D291/1000</f>
        <v>0</v>
      </c>
      <c r="I291" s="55">
        <v>1</v>
      </c>
      <c r="J291" s="53">
        <v>130000</v>
      </c>
      <c r="K291" s="19">
        <f t="shared" si="71"/>
        <v>0</v>
      </c>
      <c r="L291" s="214" t="s">
        <v>196</v>
      </c>
      <c r="M291" s="108"/>
    </row>
    <row r="292" spans="1:13" s="26" customFormat="1" ht="77.25" customHeight="1">
      <c r="A292" s="11">
        <v>17</v>
      </c>
      <c r="B292" s="28" t="s">
        <v>116</v>
      </c>
      <c r="C292" s="146"/>
      <c r="D292" s="17"/>
      <c r="E292" s="17"/>
      <c r="F292" s="17"/>
      <c r="G292" s="11" t="s">
        <v>21</v>
      </c>
      <c r="H292" s="31">
        <f>D292/1000*F292/1000</f>
        <v>0</v>
      </c>
      <c r="I292" s="11">
        <v>1</v>
      </c>
      <c r="J292" s="19"/>
      <c r="K292" s="19">
        <f t="shared" si="71"/>
        <v>0</v>
      </c>
      <c r="L292" s="51"/>
      <c r="M292" s="108"/>
    </row>
    <row r="293" spans="1:13" s="26" customFormat="1" ht="69.75" customHeight="1">
      <c r="A293" s="11">
        <v>18</v>
      </c>
      <c r="B293" s="62" t="s">
        <v>319</v>
      </c>
      <c r="C293" s="146"/>
      <c r="D293" s="40"/>
      <c r="E293" s="11"/>
      <c r="F293" s="11"/>
      <c r="G293" s="55" t="s">
        <v>21</v>
      </c>
      <c r="H293" s="113"/>
      <c r="I293" s="55">
        <v>1</v>
      </c>
      <c r="J293" s="53">
        <v>35000</v>
      </c>
      <c r="K293" s="19">
        <f t="shared" si="71"/>
        <v>0</v>
      </c>
      <c r="L293" s="62" t="s">
        <v>44</v>
      </c>
      <c r="M293" s="108"/>
    </row>
    <row r="294" spans="1:13" s="26" customFormat="1" ht="95.25" customHeight="1">
      <c r="A294" s="11">
        <v>19</v>
      </c>
      <c r="B294" s="28" t="s">
        <v>188</v>
      </c>
      <c r="C294" s="146"/>
      <c r="D294" s="40"/>
      <c r="E294" s="11"/>
      <c r="F294" s="11"/>
      <c r="G294" s="11" t="s">
        <v>21</v>
      </c>
      <c r="H294" s="112"/>
      <c r="I294" s="11">
        <v>1</v>
      </c>
      <c r="J294" s="19">
        <v>190000</v>
      </c>
      <c r="K294" s="19">
        <f t="shared" si="71"/>
        <v>0</v>
      </c>
      <c r="L294" s="61" t="s">
        <v>95</v>
      </c>
      <c r="M294" s="108"/>
    </row>
    <row r="295" spans="1:13" s="26" customFormat="1" ht="38.25" hidden="1" customHeight="1" outlineLevel="1">
      <c r="A295" s="247"/>
      <c r="B295" s="29"/>
      <c r="C295" s="29"/>
      <c r="D295" s="30"/>
      <c r="E295" s="30"/>
      <c r="F295" s="30"/>
      <c r="G295" s="33"/>
      <c r="H295" s="114">
        <f t="shared" ref="H295" si="80">D295/1000*F295/1000</f>
        <v>0</v>
      </c>
      <c r="I295" s="33"/>
      <c r="J295" s="19"/>
      <c r="K295" s="19"/>
      <c r="L295" s="182"/>
      <c r="M295" s="108"/>
    </row>
    <row r="296" spans="1:13" s="26" customFormat="1" ht="38.25" hidden="1" customHeight="1" outlineLevel="1">
      <c r="A296" s="249"/>
      <c r="B296" s="29"/>
      <c r="C296" s="29"/>
      <c r="D296" s="30"/>
      <c r="E296" s="30"/>
      <c r="F296" s="30"/>
      <c r="G296" s="33"/>
      <c r="H296" s="114">
        <f t="shared" ref="H296" si="81">D296/1000*F296/1000</f>
        <v>0</v>
      </c>
      <c r="I296" s="33"/>
      <c r="J296" s="19"/>
      <c r="K296" s="19"/>
      <c r="L296" s="182"/>
      <c r="M296" s="108"/>
    </row>
    <row r="297" spans="1:13" s="26" customFormat="1" ht="38.25" hidden="1" customHeight="1" outlineLevel="1">
      <c r="A297" s="249"/>
      <c r="B297" s="309" t="s">
        <v>293</v>
      </c>
      <c r="C297" s="29"/>
      <c r="D297" s="68"/>
      <c r="E297" s="68"/>
      <c r="F297" s="68"/>
      <c r="G297" s="69"/>
      <c r="H297" s="115">
        <f>-D297/1000*F297/1000</f>
        <v>0</v>
      </c>
      <c r="I297" s="33"/>
      <c r="J297" s="19"/>
      <c r="K297" s="19"/>
      <c r="L297" s="182"/>
      <c r="M297" s="108"/>
    </row>
    <row r="298" spans="1:13" s="26" customFormat="1" ht="38.25" hidden="1" customHeight="1" outlineLevel="1">
      <c r="A298" s="249"/>
      <c r="B298" s="29"/>
      <c r="C298" s="29"/>
      <c r="D298" s="30"/>
      <c r="E298" s="30"/>
      <c r="F298" s="30"/>
      <c r="G298" s="33"/>
      <c r="H298" s="114">
        <f t="shared" ref="H298" si="82">D298/1000*F298/1000</f>
        <v>0</v>
      </c>
      <c r="I298" s="33"/>
      <c r="J298" s="19"/>
      <c r="K298" s="19"/>
      <c r="L298" s="182"/>
      <c r="M298" s="108"/>
    </row>
    <row r="299" spans="1:13" s="26" customFormat="1" ht="38.25" hidden="1" customHeight="1" outlineLevel="1">
      <c r="A299" s="249"/>
      <c r="B299" s="29"/>
      <c r="C299" s="29"/>
      <c r="D299" s="30"/>
      <c r="E299" s="30"/>
      <c r="F299" s="30"/>
      <c r="G299" s="33"/>
      <c r="H299" s="114">
        <f t="shared" ref="H299" si="83">D299/1000*F299/1000</f>
        <v>0</v>
      </c>
      <c r="I299" s="33"/>
      <c r="J299" s="19"/>
      <c r="K299" s="19"/>
      <c r="L299" s="182"/>
      <c r="M299" s="108"/>
    </row>
    <row r="300" spans="1:13" s="26" customFormat="1" ht="38.25" hidden="1" customHeight="1" outlineLevel="1">
      <c r="A300" s="249"/>
      <c r="B300" s="29"/>
      <c r="C300" s="29"/>
      <c r="D300" s="30"/>
      <c r="E300" s="30"/>
      <c r="F300" s="30"/>
      <c r="G300" s="33"/>
      <c r="H300" s="114">
        <f>D300/1000*E300/1000</f>
        <v>0</v>
      </c>
      <c r="I300" s="33"/>
      <c r="J300" s="19"/>
      <c r="K300" s="19"/>
      <c r="L300" s="182"/>
      <c r="M300" s="108"/>
    </row>
    <row r="301" spans="1:13" s="26" customFormat="1" ht="38.25" hidden="1" customHeight="1" outlineLevel="1">
      <c r="A301" s="248"/>
      <c r="B301" s="309" t="s">
        <v>293</v>
      </c>
      <c r="C301" s="29"/>
      <c r="D301" s="68"/>
      <c r="E301" s="68"/>
      <c r="F301" s="68"/>
      <c r="G301" s="69"/>
      <c r="H301" s="115">
        <f>-D301/1000*F301/1000</f>
        <v>0</v>
      </c>
      <c r="I301" s="33"/>
      <c r="J301" s="19"/>
      <c r="K301" s="19"/>
      <c r="L301" s="182"/>
      <c r="M301" s="108"/>
    </row>
    <row r="302" spans="1:13" s="26" customFormat="1" ht="84" customHeight="1" collapsed="1">
      <c r="A302" s="11">
        <v>20</v>
      </c>
      <c r="B302" s="62" t="s">
        <v>236</v>
      </c>
      <c r="C302" s="197"/>
      <c r="D302" s="92"/>
      <c r="E302" s="55"/>
      <c r="F302" s="55"/>
      <c r="G302" s="55" t="s">
        <v>22</v>
      </c>
      <c r="H302" s="113">
        <v>1</v>
      </c>
      <c r="I302" s="55">
        <v>1</v>
      </c>
      <c r="J302" s="53"/>
      <c r="K302" s="19">
        <f t="shared" si="71"/>
        <v>0</v>
      </c>
      <c r="L302" s="198" t="s">
        <v>185</v>
      </c>
      <c r="M302" s="108"/>
    </row>
    <row r="303" spans="1:13" s="26" customFormat="1" ht="142.5" customHeight="1">
      <c r="A303" s="11">
        <v>21</v>
      </c>
      <c r="B303" s="62" t="s">
        <v>320</v>
      </c>
      <c r="C303" s="212"/>
      <c r="D303" s="92"/>
      <c r="E303" s="55"/>
      <c r="F303" s="55"/>
      <c r="G303" s="92" t="s">
        <v>186</v>
      </c>
      <c r="H303" s="113"/>
      <c r="I303" s="55">
        <v>1</v>
      </c>
      <c r="J303" s="53">
        <v>275000</v>
      </c>
      <c r="K303" s="19">
        <f t="shared" si="71"/>
        <v>0</v>
      </c>
      <c r="L303" s="157" t="s">
        <v>237</v>
      </c>
      <c r="M303" s="108"/>
    </row>
    <row r="304" spans="1:13" s="21" customFormat="1" ht="54.75" hidden="1" customHeight="1" outlineLevel="1">
      <c r="A304" s="247"/>
      <c r="B304" s="127"/>
      <c r="C304" s="130"/>
      <c r="D304" s="30"/>
      <c r="E304" s="30"/>
      <c r="F304" s="30"/>
      <c r="G304" s="33" t="s">
        <v>21</v>
      </c>
      <c r="H304" s="114">
        <f t="shared" ref="H304:H306" si="84">D304/1000*F304/1000</f>
        <v>0</v>
      </c>
      <c r="I304" s="183"/>
      <c r="J304" s="19"/>
      <c r="K304" s="19"/>
      <c r="L304" s="157"/>
      <c r="M304" s="135"/>
    </row>
    <row r="305" spans="1:13" s="21" customFormat="1" ht="54.75" hidden="1" customHeight="1" outlineLevel="1">
      <c r="A305" s="249"/>
      <c r="B305" s="309" t="s">
        <v>293</v>
      </c>
      <c r="C305" s="70"/>
      <c r="D305" s="68"/>
      <c r="E305" s="68"/>
      <c r="F305" s="68"/>
      <c r="G305" s="69" t="s">
        <v>21</v>
      </c>
      <c r="H305" s="115">
        <f>-D305/1000*F305/1000</f>
        <v>0</v>
      </c>
      <c r="I305" s="183"/>
      <c r="J305" s="19"/>
      <c r="K305" s="19"/>
      <c r="L305" s="157"/>
      <c r="M305" s="135"/>
    </row>
    <row r="306" spans="1:13" s="21" customFormat="1" ht="57" hidden="1" customHeight="1" outlineLevel="1">
      <c r="A306" s="248"/>
      <c r="B306" s="127"/>
      <c r="C306" s="130"/>
      <c r="D306" s="30"/>
      <c r="E306" s="30"/>
      <c r="F306" s="30"/>
      <c r="G306" s="33" t="s">
        <v>21</v>
      </c>
      <c r="H306" s="114">
        <f t="shared" si="84"/>
        <v>0</v>
      </c>
      <c r="I306" s="183"/>
      <c r="J306" s="19"/>
      <c r="K306" s="19"/>
      <c r="L306" s="157"/>
      <c r="M306" s="101"/>
    </row>
    <row r="307" spans="1:13" s="20" customFormat="1" ht="48.75" customHeight="1" collapsed="1">
      <c r="A307" s="41" t="s">
        <v>119</v>
      </c>
      <c r="B307" s="252" t="s">
        <v>174</v>
      </c>
      <c r="C307" s="252"/>
      <c r="D307" s="252"/>
      <c r="E307" s="252"/>
      <c r="F307" s="252"/>
      <c r="G307" s="252"/>
      <c r="H307" s="252"/>
      <c r="I307" s="252"/>
      <c r="J307" s="252"/>
      <c r="K307" s="58">
        <f>SUM(K308:K332)</f>
        <v>0</v>
      </c>
      <c r="L307" s="59"/>
      <c r="M307" s="102"/>
    </row>
    <row r="308" spans="1:13" s="132" customFormat="1" ht="81" customHeight="1">
      <c r="A308" s="82">
        <v>1</v>
      </c>
      <c r="B308" s="28" t="s">
        <v>144</v>
      </c>
      <c r="C308" s="228"/>
      <c r="D308" s="36"/>
      <c r="E308" s="36"/>
      <c r="F308" s="36"/>
      <c r="G308" s="11" t="s">
        <v>37</v>
      </c>
      <c r="H308" s="43"/>
      <c r="I308" s="11">
        <v>1</v>
      </c>
      <c r="J308" s="19">
        <v>2800000</v>
      </c>
      <c r="K308" s="19">
        <f>H308*I308*J308</f>
        <v>0</v>
      </c>
      <c r="L308" s="60" t="s">
        <v>145</v>
      </c>
      <c r="M308" s="102"/>
    </row>
    <row r="309" spans="1:13" s="132" customFormat="1" ht="63.75" customHeight="1">
      <c r="A309" s="82">
        <v>2</v>
      </c>
      <c r="B309" s="28" t="s">
        <v>146</v>
      </c>
      <c r="C309" s="228"/>
      <c r="D309" s="36"/>
      <c r="E309" s="36"/>
      <c r="F309" s="36"/>
      <c r="G309" s="11" t="s">
        <v>37</v>
      </c>
      <c r="H309" s="43"/>
      <c r="I309" s="11">
        <v>1</v>
      </c>
      <c r="J309" s="19">
        <v>620000</v>
      </c>
      <c r="K309" s="19">
        <f t="shared" ref="K309:K315" si="85">H309*I309*J309</f>
        <v>0</v>
      </c>
      <c r="L309" s="56" t="s">
        <v>32</v>
      </c>
      <c r="M309" s="102"/>
    </row>
    <row r="310" spans="1:13" s="132" customFormat="1" ht="65.25" customHeight="1">
      <c r="A310" s="82">
        <v>3</v>
      </c>
      <c r="B310" s="28" t="s">
        <v>142</v>
      </c>
      <c r="C310" s="228"/>
      <c r="D310" s="36"/>
      <c r="E310" s="36"/>
      <c r="F310" s="36"/>
      <c r="G310" s="11" t="s">
        <v>21</v>
      </c>
      <c r="H310" s="43"/>
      <c r="I310" s="11">
        <v>1</v>
      </c>
      <c r="J310" s="19">
        <v>410000</v>
      </c>
      <c r="K310" s="19">
        <f t="shared" si="85"/>
        <v>0</v>
      </c>
      <c r="L310" s="60" t="s">
        <v>31</v>
      </c>
      <c r="M310" s="102"/>
    </row>
    <row r="311" spans="1:13" s="132" customFormat="1" ht="65.25" customHeight="1">
      <c r="A311" s="179">
        <v>4</v>
      </c>
      <c r="B311" s="28" t="s">
        <v>321</v>
      </c>
      <c r="C311" s="312"/>
      <c r="D311" s="36"/>
      <c r="E311" s="36"/>
      <c r="F311" s="36"/>
      <c r="G311" s="11" t="s">
        <v>49</v>
      </c>
      <c r="H311" s="43">
        <v>1</v>
      </c>
      <c r="I311" s="11">
        <v>1</v>
      </c>
      <c r="J311" s="19"/>
      <c r="K311" s="19">
        <f t="shared" si="85"/>
        <v>0</v>
      </c>
      <c r="L311" s="60"/>
      <c r="M311" s="102"/>
    </row>
    <row r="312" spans="1:13" s="132" customFormat="1" ht="104.25" customHeight="1">
      <c r="A312" s="179">
        <v>5</v>
      </c>
      <c r="B312" s="62" t="s">
        <v>322</v>
      </c>
      <c r="C312" s="312"/>
      <c r="D312" s="36"/>
      <c r="E312" s="36"/>
      <c r="F312" s="36"/>
      <c r="G312" s="55" t="s">
        <v>21</v>
      </c>
      <c r="H312" s="113"/>
      <c r="I312" s="55">
        <v>1</v>
      </c>
      <c r="J312" s="53">
        <v>195000</v>
      </c>
      <c r="K312" s="19">
        <f t="shared" ref="K312:K313" si="86">J312*I312*H312</f>
        <v>0</v>
      </c>
      <c r="L312" s="71" t="s">
        <v>323</v>
      </c>
      <c r="M312" s="102"/>
    </row>
    <row r="313" spans="1:13" s="132" customFormat="1" ht="71.25" customHeight="1">
      <c r="A313" s="179">
        <v>6</v>
      </c>
      <c r="B313" s="62" t="s">
        <v>324</v>
      </c>
      <c r="C313" s="125"/>
      <c r="D313" s="44"/>
      <c r="E313" s="92"/>
      <c r="F313" s="55"/>
      <c r="G313" s="55" t="s">
        <v>37</v>
      </c>
      <c r="H313" s="113">
        <f>D313/1000</f>
        <v>0</v>
      </c>
      <c r="I313" s="55">
        <v>1</v>
      </c>
      <c r="J313" s="53">
        <v>120000</v>
      </c>
      <c r="K313" s="53">
        <f t="shared" si="86"/>
        <v>0</v>
      </c>
      <c r="L313" s="71" t="s">
        <v>325</v>
      </c>
      <c r="M313" s="102"/>
    </row>
    <row r="314" spans="1:13" s="132" customFormat="1" ht="105" customHeight="1">
      <c r="A314" s="82">
        <v>7</v>
      </c>
      <c r="B314" s="28" t="s">
        <v>147</v>
      </c>
      <c r="C314" s="138"/>
      <c r="D314" s="36"/>
      <c r="E314" s="36"/>
      <c r="F314" s="36"/>
      <c r="G314" s="11" t="s">
        <v>21</v>
      </c>
      <c r="H314" s="43">
        <f>H294</f>
        <v>0</v>
      </c>
      <c r="I314" s="11">
        <v>1</v>
      </c>
      <c r="J314" s="19">
        <v>160000</v>
      </c>
      <c r="K314" s="19">
        <f t="shared" ref="K314" si="87">H314*I314*J314</f>
        <v>0</v>
      </c>
      <c r="L314" s="51" t="s">
        <v>77</v>
      </c>
      <c r="M314" s="102"/>
    </row>
    <row r="315" spans="1:13" s="132" customFormat="1" ht="95.25" customHeight="1">
      <c r="A315" s="261">
        <v>8</v>
      </c>
      <c r="B315" s="28" t="s">
        <v>330</v>
      </c>
      <c r="C315" s="181"/>
      <c r="D315" s="36"/>
      <c r="E315" s="36"/>
      <c r="F315" s="36"/>
      <c r="G315" s="11" t="s">
        <v>21</v>
      </c>
      <c r="H315" s="43">
        <f>SUM(H316:H319)</f>
        <v>0</v>
      </c>
      <c r="I315" s="11">
        <v>1</v>
      </c>
      <c r="J315" s="19"/>
      <c r="K315" s="19">
        <f t="shared" si="85"/>
        <v>0</v>
      </c>
      <c r="L315" s="60"/>
      <c r="M315" s="155"/>
    </row>
    <row r="316" spans="1:13" s="156" customFormat="1" ht="41.25" hidden="1" customHeight="1" outlineLevel="1">
      <c r="A316" s="262"/>
      <c r="B316" s="29"/>
      <c r="C316" s="129"/>
      <c r="D316" s="30"/>
      <c r="E316" s="30"/>
      <c r="F316" s="30"/>
      <c r="G316" s="33" t="s">
        <v>21</v>
      </c>
      <c r="H316" s="139">
        <f>D316/1000*E316/1000</f>
        <v>0</v>
      </c>
      <c r="I316" s="33"/>
      <c r="J316" s="50"/>
      <c r="K316" s="19"/>
      <c r="L316" s="154"/>
      <c r="M316" s="155"/>
    </row>
    <row r="317" spans="1:13" s="156" customFormat="1" ht="41.25" hidden="1" customHeight="1" outlineLevel="1">
      <c r="A317" s="262"/>
      <c r="B317" s="29"/>
      <c r="C317" s="129"/>
      <c r="D317" s="30"/>
      <c r="E317" s="30"/>
      <c r="F317" s="30"/>
      <c r="G317" s="33" t="s">
        <v>21</v>
      </c>
      <c r="H317" s="139">
        <f>D317/1000*E317/1000</f>
        <v>0</v>
      </c>
      <c r="I317" s="33"/>
      <c r="J317" s="50"/>
      <c r="K317" s="19"/>
      <c r="L317" s="154"/>
      <c r="M317" s="155"/>
    </row>
    <row r="318" spans="1:13" s="156" customFormat="1" ht="41.25" hidden="1" customHeight="1" outlineLevel="1">
      <c r="A318" s="262"/>
      <c r="B318" s="29"/>
      <c r="C318" s="129"/>
      <c r="D318" s="30"/>
      <c r="E318" s="30"/>
      <c r="F318" s="30"/>
      <c r="G318" s="33" t="s">
        <v>21</v>
      </c>
      <c r="H318" s="139">
        <f t="shared" ref="H318:H319" si="88">D318/1000*E318/1000</f>
        <v>0</v>
      </c>
      <c r="I318" s="33"/>
      <c r="J318" s="50"/>
      <c r="K318" s="19"/>
      <c r="L318" s="154"/>
      <c r="M318" s="155"/>
    </row>
    <row r="319" spans="1:13" s="156" customFormat="1" ht="41.25" hidden="1" customHeight="1" outlineLevel="1">
      <c r="A319" s="262"/>
      <c r="B319" s="29"/>
      <c r="C319" s="129"/>
      <c r="D319" s="30"/>
      <c r="E319" s="30"/>
      <c r="F319" s="30"/>
      <c r="G319" s="33" t="s">
        <v>21</v>
      </c>
      <c r="H319" s="139">
        <f t="shared" si="88"/>
        <v>0</v>
      </c>
      <c r="I319" s="33"/>
      <c r="J319" s="50"/>
      <c r="K319" s="19"/>
      <c r="L319" s="154"/>
      <c r="M319" s="102"/>
    </row>
    <row r="320" spans="1:13" s="132" customFormat="1" ht="93" customHeight="1" collapsed="1">
      <c r="A320" s="262"/>
      <c r="B320" s="28" t="s">
        <v>331</v>
      </c>
      <c r="C320" s="181"/>
      <c r="D320" s="36"/>
      <c r="E320" s="36"/>
      <c r="F320" s="36"/>
      <c r="G320" s="11" t="s">
        <v>21</v>
      </c>
      <c r="H320" s="43">
        <f>SUM(H321:H324)</f>
        <v>0</v>
      </c>
      <c r="I320" s="11">
        <v>1</v>
      </c>
      <c r="J320" s="19"/>
      <c r="K320" s="19">
        <f t="shared" ref="K320" si="89">H320*I320*J320</f>
        <v>0</v>
      </c>
      <c r="L320" s="60"/>
      <c r="M320" s="102"/>
    </row>
    <row r="321" spans="1:13" s="132" customFormat="1" ht="44.25" hidden="1" customHeight="1" outlineLevel="1">
      <c r="A321" s="262"/>
      <c r="B321" s="29"/>
      <c r="C321" s="129"/>
      <c r="D321" s="30"/>
      <c r="E321" s="30"/>
      <c r="F321" s="30"/>
      <c r="G321" s="33" t="s">
        <v>21</v>
      </c>
      <c r="H321" s="139">
        <f>D321/1000*E321/1000</f>
        <v>0</v>
      </c>
      <c r="I321" s="11"/>
      <c r="J321" s="19"/>
      <c r="K321" s="19"/>
      <c r="L321" s="60"/>
      <c r="M321" s="102"/>
    </row>
    <row r="322" spans="1:13" s="132" customFormat="1" ht="44.25" hidden="1" customHeight="1" outlineLevel="1">
      <c r="A322" s="262"/>
      <c r="B322" s="29"/>
      <c r="C322" s="129"/>
      <c r="D322" s="30"/>
      <c r="E322" s="30"/>
      <c r="F322" s="30"/>
      <c r="G322" s="33" t="s">
        <v>21</v>
      </c>
      <c r="H322" s="139">
        <f t="shared" ref="H322:H324" si="90">D322/1000*E322/1000</f>
        <v>0</v>
      </c>
      <c r="I322" s="11"/>
      <c r="J322" s="19"/>
      <c r="K322" s="19"/>
      <c r="L322" s="60"/>
      <c r="M322" s="102"/>
    </row>
    <row r="323" spans="1:13" s="132" customFormat="1" ht="44.25" hidden="1" customHeight="1" outlineLevel="1">
      <c r="A323" s="262"/>
      <c r="B323" s="29"/>
      <c r="C323" s="129"/>
      <c r="D323" s="30"/>
      <c r="E323" s="30"/>
      <c r="F323" s="30"/>
      <c r="G323" s="33" t="s">
        <v>21</v>
      </c>
      <c r="H323" s="139">
        <f t="shared" si="90"/>
        <v>0</v>
      </c>
      <c r="I323" s="11"/>
      <c r="J323" s="19"/>
      <c r="K323" s="19"/>
      <c r="L323" s="60"/>
      <c r="M323" s="102"/>
    </row>
    <row r="324" spans="1:13" s="132" customFormat="1" ht="44.25" hidden="1" customHeight="1" outlineLevel="1">
      <c r="A324" s="262"/>
      <c r="B324" s="29"/>
      <c r="C324" s="129"/>
      <c r="D324" s="30"/>
      <c r="E324" s="30"/>
      <c r="F324" s="30"/>
      <c r="G324" s="33" t="s">
        <v>21</v>
      </c>
      <c r="H324" s="139">
        <f t="shared" si="90"/>
        <v>0</v>
      </c>
      <c r="I324" s="11"/>
      <c r="J324" s="19"/>
      <c r="K324" s="19"/>
      <c r="L324" s="60"/>
      <c r="M324" s="102"/>
    </row>
    <row r="325" spans="1:13" s="132" customFormat="1" ht="81" customHeight="1" collapsed="1">
      <c r="A325" s="262"/>
      <c r="B325" s="28" t="s">
        <v>326</v>
      </c>
      <c r="C325" s="181"/>
      <c r="D325" s="36"/>
      <c r="E325" s="36"/>
      <c r="F325" s="36"/>
      <c r="G325" s="11" t="s">
        <v>37</v>
      </c>
      <c r="H325" s="43">
        <f>D325/1000</f>
        <v>0</v>
      </c>
      <c r="I325" s="11">
        <v>1</v>
      </c>
      <c r="J325" s="19"/>
      <c r="K325" s="19">
        <f t="shared" ref="K325" si="91">H325*I325*J325</f>
        <v>0</v>
      </c>
      <c r="L325" s="60"/>
      <c r="M325" s="102"/>
    </row>
    <row r="326" spans="1:13" s="132" customFormat="1" ht="55.5" hidden="1" customHeight="1" outlineLevel="1">
      <c r="A326" s="262"/>
      <c r="B326" s="29"/>
      <c r="C326" s="129"/>
      <c r="D326" s="30"/>
      <c r="E326" s="30"/>
      <c r="F326" s="30"/>
      <c r="G326" s="33" t="s">
        <v>37</v>
      </c>
      <c r="H326" s="139">
        <f>D326/1000</f>
        <v>0</v>
      </c>
      <c r="I326" s="11"/>
      <c r="J326" s="19"/>
      <c r="K326" s="19"/>
      <c r="L326" s="60"/>
      <c r="M326" s="102"/>
    </row>
    <row r="327" spans="1:13" s="132" customFormat="1" ht="55.5" hidden="1" customHeight="1" outlineLevel="1">
      <c r="A327" s="262"/>
      <c r="B327" s="29"/>
      <c r="C327" s="129"/>
      <c r="D327" s="30"/>
      <c r="E327" s="30"/>
      <c r="F327" s="30"/>
      <c r="G327" s="33" t="s">
        <v>37</v>
      </c>
      <c r="H327" s="139">
        <f>D327/1000</f>
        <v>0</v>
      </c>
      <c r="I327" s="11"/>
      <c r="J327" s="19"/>
      <c r="K327" s="19"/>
      <c r="L327" s="60"/>
      <c r="M327" s="102"/>
    </row>
    <row r="328" spans="1:13" s="132" customFormat="1" ht="99" customHeight="1" collapsed="1">
      <c r="A328" s="263"/>
      <c r="B328" s="28" t="s">
        <v>327</v>
      </c>
      <c r="C328" s="181"/>
      <c r="D328" s="36"/>
      <c r="E328" s="36"/>
      <c r="F328" s="36"/>
      <c r="G328" s="11" t="s">
        <v>37</v>
      </c>
      <c r="H328" s="43">
        <f>D328/1000</f>
        <v>0</v>
      </c>
      <c r="I328" s="11">
        <v>1</v>
      </c>
      <c r="J328" s="19"/>
      <c r="K328" s="19">
        <f t="shared" ref="K328:K332" si="92">H328*I328*J328</f>
        <v>0</v>
      </c>
      <c r="L328" s="60"/>
      <c r="M328" s="102"/>
    </row>
    <row r="329" spans="1:13" s="132" customFormat="1" ht="99" customHeight="1">
      <c r="A329" s="261">
        <v>9</v>
      </c>
      <c r="B329" s="28" t="s">
        <v>328</v>
      </c>
      <c r="C329" s="181"/>
      <c r="D329" s="36"/>
      <c r="E329" s="36"/>
      <c r="F329" s="36"/>
      <c r="G329" s="11" t="s">
        <v>21</v>
      </c>
      <c r="H329" s="43">
        <f>SUM(H330:H333)</f>
        <v>0</v>
      </c>
      <c r="I329" s="11">
        <v>1</v>
      </c>
      <c r="J329" s="19"/>
      <c r="K329" s="19">
        <f t="shared" si="92"/>
        <v>0</v>
      </c>
      <c r="L329" s="60"/>
      <c r="M329" s="102"/>
    </row>
    <row r="330" spans="1:13" s="132" customFormat="1" ht="99" customHeight="1">
      <c r="A330" s="262"/>
      <c r="B330" s="28" t="s">
        <v>329</v>
      </c>
      <c r="C330" s="181"/>
      <c r="D330" s="36"/>
      <c r="E330" s="36"/>
      <c r="F330" s="36"/>
      <c r="G330" s="11" t="s">
        <v>21</v>
      </c>
      <c r="H330" s="43">
        <f>SUM(H332:H334)</f>
        <v>0</v>
      </c>
      <c r="I330" s="11">
        <v>1</v>
      </c>
      <c r="J330" s="19"/>
      <c r="K330" s="19">
        <f t="shared" si="92"/>
        <v>0</v>
      </c>
      <c r="L330" s="60"/>
      <c r="M330" s="102"/>
    </row>
    <row r="331" spans="1:13" s="132" customFormat="1" ht="99" customHeight="1">
      <c r="A331" s="263"/>
      <c r="B331" s="28" t="s">
        <v>232</v>
      </c>
      <c r="C331" s="181"/>
      <c r="D331" s="36"/>
      <c r="E331" s="36"/>
      <c r="F331" s="36"/>
      <c r="G331" s="11" t="s">
        <v>37</v>
      </c>
      <c r="H331" s="43">
        <f>D331/1000</f>
        <v>0</v>
      </c>
      <c r="I331" s="11">
        <v>1</v>
      </c>
      <c r="J331" s="19"/>
      <c r="K331" s="19">
        <f t="shared" si="92"/>
        <v>0</v>
      </c>
      <c r="L331" s="60"/>
      <c r="M331" s="102"/>
    </row>
    <row r="332" spans="1:13" s="132" customFormat="1" ht="87.75" customHeight="1">
      <c r="A332" s="224">
        <v>10</v>
      </c>
      <c r="B332" s="28" t="s">
        <v>143</v>
      </c>
      <c r="C332" s="138"/>
      <c r="D332" s="36"/>
      <c r="E332" s="36"/>
      <c r="F332" s="36"/>
      <c r="G332" s="11" t="s">
        <v>37</v>
      </c>
      <c r="H332" s="43">
        <f>D332/1000</f>
        <v>0</v>
      </c>
      <c r="I332" s="11">
        <v>1</v>
      </c>
      <c r="J332" s="19"/>
      <c r="K332" s="19">
        <f t="shared" si="92"/>
        <v>0</v>
      </c>
      <c r="L332" s="60"/>
      <c r="M332" s="102"/>
    </row>
    <row r="333" spans="1:13" s="20" customFormat="1" ht="53.25" customHeight="1">
      <c r="A333" s="90" t="s">
        <v>120</v>
      </c>
      <c r="B333" s="264" t="s">
        <v>48</v>
      </c>
      <c r="C333" s="265"/>
      <c r="D333" s="265"/>
      <c r="E333" s="265"/>
      <c r="F333" s="265"/>
      <c r="G333" s="265"/>
      <c r="H333" s="265"/>
      <c r="I333" s="265"/>
      <c r="J333" s="266"/>
      <c r="K333" s="58">
        <f>K334+K347+K360</f>
        <v>0</v>
      </c>
      <c r="L333" s="59"/>
      <c r="M333" s="101"/>
    </row>
    <row r="334" spans="1:13" s="20" customFormat="1" ht="48.75" customHeight="1">
      <c r="A334" s="99" t="s">
        <v>238</v>
      </c>
      <c r="B334" s="244" t="s">
        <v>112</v>
      </c>
      <c r="C334" s="245"/>
      <c r="D334" s="245"/>
      <c r="E334" s="245"/>
      <c r="F334" s="245"/>
      <c r="G334" s="245"/>
      <c r="H334" s="245"/>
      <c r="I334" s="245"/>
      <c r="J334" s="246"/>
      <c r="K334" s="100">
        <f>SUM(K335:K346)</f>
        <v>0</v>
      </c>
      <c r="L334" s="124"/>
      <c r="M334" s="102"/>
    </row>
    <row r="335" spans="1:13" s="132" customFormat="1" ht="81.75" customHeight="1">
      <c r="A335" s="247">
        <v>1</v>
      </c>
      <c r="B335" s="28" t="s">
        <v>332</v>
      </c>
      <c r="C335" s="62"/>
      <c r="D335" s="44"/>
      <c r="E335" s="44"/>
      <c r="F335" s="44"/>
      <c r="G335" s="55" t="s">
        <v>22</v>
      </c>
      <c r="H335" s="63">
        <v>1</v>
      </c>
      <c r="I335" s="55">
        <v>1</v>
      </c>
      <c r="J335" s="53"/>
      <c r="K335" s="53">
        <f t="shared" ref="K335" si="93">+J335*I335*H335</f>
        <v>0</v>
      </c>
      <c r="L335" s="171" t="s">
        <v>148</v>
      </c>
      <c r="M335" s="102"/>
    </row>
    <row r="336" spans="1:13" s="3" customFormat="1" ht="72.75" customHeight="1">
      <c r="A336" s="248"/>
      <c r="B336" s="28" t="s">
        <v>333</v>
      </c>
      <c r="C336" s="66"/>
      <c r="D336" s="36"/>
      <c r="E336" s="36"/>
      <c r="F336" s="36"/>
      <c r="G336" s="11" t="s">
        <v>21</v>
      </c>
      <c r="H336" s="31">
        <f>D336/1000*F336/1000</f>
        <v>0</v>
      </c>
      <c r="I336" s="11">
        <v>1</v>
      </c>
      <c r="J336" s="19">
        <v>570000</v>
      </c>
      <c r="K336" s="19">
        <f>+J336*I336*H336</f>
        <v>0</v>
      </c>
      <c r="L336" s="116" t="s">
        <v>334</v>
      </c>
    </row>
    <row r="337" spans="1:13" s="3" customFormat="1" ht="96" customHeight="1">
      <c r="A337" s="35">
        <v>2</v>
      </c>
      <c r="B337" s="28" t="s">
        <v>241</v>
      </c>
      <c r="C337" s="225"/>
      <c r="D337" s="36"/>
      <c r="E337" s="36"/>
      <c r="F337" s="36"/>
      <c r="G337" s="11" t="s">
        <v>21</v>
      </c>
      <c r="H337" s="31">
        <f>D337/1000*F337/1000</f>
        <v>0</v>
      </c>
      <c r="I337" s="11">
        <v>1</v>
      </c>
      <c r="J337" s="19">
        <v>2500000</v>
      </c>
      <c r="K337" s="19">
        <f t="shared" ref="K337:K346" si="94">+J337*I337*H337</f>
        <v>0</v>
      </c>
      <c r="L337" s="116" t="s">
        <v>242</v>
      </c>
    </row>
    <row r="338" spans="1:13" s="3" customFormat="1" ht="96" customHeight="1">
      <c r="A338" s="35">
        <v>3</v>
      </c>
      <c r="B338" s="28" t="s">
        <v>166</v>
      </c>
      <c r="C338" s="42"/>
      <c r="D338" s="36"/>
      <c r="E338" s="36"/>
      <c r="F338" s="36"/>
      <c r="G338" s="11" t="s">
        <v>21</v>
      </c>
      <c r="H338" s="31">
        <f t="shared" ref="H338" si="95">D338/1000*F338/1000</f>
        <v>0</v>
      </c>
      <c r="I338" s="11">
        <v>1</v>
      </c>
      <c r="J338" s="19">
        <v>2500000</v>
      </c>
      <c r="K338" s="19">
        <f t="shared" si="94"/>
        <v>0</v>
      </c>
      <c r="L338" s="116" t="s">
        <v>117</v>
      </c>
    </row>
    <row r="339" spans="1:13" s="3" customFormat="1" ht="96" customHeight="1">
      <c r="A339" s="170">
        <v>4</v>
      </c>
      <c r="B339" s="62" t="s">
        <v>243</v>
      </c>
      <c r="C339" s="62"/>
      <c r="D339" s="44"/>
      <c r="E339" s="44"/>
      <c r="F339" s="44"/>
      <c r="G339" s="55" t="s">
        <v>49</v>
      </c>
      <c r="H339" s="63">
        <v>1</v>
      </c>
      <c r="I339" s="55"/>
      <c r="J339" s="53">
        <f>6500000+400000</f>
        <v>6900000</v>
      </c>
      <c r="K339" s="19">
        <f t="shared" si="94"/>
        <v>0</v>
      </c>
      <c r="L339" s="198" t="s">
        <v>245</v>
      </c>
    </row>
    <row r="340" spans="1:13" s="3" customFormat="1" ht="96" customHeight="1">
      <c r="A340" s="11">
        <v>5</v>
      </c>
      <c r="B340" s="28" t="s">
        <v>244</v>
      </c>
      <c r="C340" s="28"/>
      <c r="D340" s="36"/>
      <c r="E340" s="36"/>
      <c r="F340" s="36"/>
      <c r="G340" s="11" t="s">
        <v>21</v>
      </c>
      <c r="H340" s="31">
        <f t="shared" ref="H340" si="96">D340/1000*F340/1000</f>
        <v>0</v>
      </c>
      <c r="I340" s="11">
        <v>1</v>
      </c>
      <c r="J340" s="53">
        <v>3000000</v>
      </c>
      <c r="K340" s="19">
        <f t="shared" si="94"/>
        <v>0</v>
      </c>
      <c r="L340" s="116" t="s">
        <v>118</v>
      </c>
    </row>
    <row r="341" spans="1:13" s="3" customFormat="1" ht="66.75" customHeight="1">
      <c r="A341" s="247">
        <v>6</v>
      </c>
      <c r="B341" s="28" t="s">
        <v>246</v>
      </c>
      <c r="C341" s="28"/>
      <c r="D341" s="36"/>
      <c r="E341" s="36"/>
      <c r="F341" s="36"/>
      <c r="G341" s="11" t="s">
        <v>47</v>
      </c>
      <c r="H341" s="31">
        <v>1</v>
      </c>
      <c r="I341" s="11"/>
      <c r="J341" s="19">
        <v>850000</v>
      </c>
      <c r="K341" s="19">
        <f t="shared" si="94"/>
        <v>0</v>
      </c>
      <c r="L341" s="72" t="s">
        <v>81</v>
      </c>
      <c r="M341" s="102"/>
    </row>
    <row r="342" spans="1:13" s="3" customFormat="1" ht="66.75" customHeight="1">
      <c r="A342" s="249"/>
      <c r="B342" s="28" t="s">
        <v>246</v>
      </c>
      <c r="C342" s="28"/>
      <c r="D342" s="36"/>
      <c r="E342" s="36"/>
      <c r="F342" s="36"/>
      <c r="G342" s="11" t="s">
        <v>37</v>
      </c>
      <c r="H342" s="31">
        <f>D342/1000</f>
        <v>0</v>
      </c>
      <c r="I342" s="11">
        <v>1</v>
      </c>
      <c r="J342" s="19">
        <v>850000</v>
      </c>
      <c r="K342" s="19">
        <f t="shared" ref="K342" si="97">+J342*I342*H342</f>
        <v>0</v>
      </c>
      <c r="L342" s="72" t="s">
        <v>81</v>
      </c>
      <c r="M342" s="102"/>
    </row>
    <row r="343" spans="1:13" s="3" customFormat="1" ht="66.75" customHeight="1">
      <c r="A343" s="248"/>
      <c r="B343" s="28" t="s">
        <v>247</v>
      </c>
      <c r="C343" s="28"/>
      <c r="D343" s="36"/>
      <c r="E343" s="36"/>
      <c r="F343" s="36"/>
      <c r="G343" s="11" t="s">
        <v>37</v>
      </c>
      <c r="H343" s="31">
        <f>D343/1000</f>
        <v>0</v>
      </c>
      <c r="I343" s="11">
        <v>1</v>
      </c>
      <c r="J343" s="19">
        <v>1200000</v>
      </c>
      <c r="K343" s="19">
        <f t="shared" ref="K343" si="98">+J343*I343*H343</f>
        <v>0</v>
      </c>
      <c r="L343" s="72" t="s">
        <v>81</v>
      </c>
      <c r="M343" s="102"/>
    </row>
    <row r="344" spans="1:13" s="3" customFormat="1" ht="66.75" customHeight="1">
      <c r="A344" s="247">
        <v>7</v>
      </c>
      <c r="B344" s="28" t="s">
        <v>248</v>
      </c>
      <c r="C344" s="73"/>
      <c r="D344" s="74"/>
      <c r="E344" s="11"/>
      <c r="F344" s="11"/>
      <c r="G344" s="11" t="s">
        <v>47</v>
      </c>
      <c r="H344" s="31">
        <v>1</v>
      </c>
      <c r="I344" s="15"/>
      <c r="J344" s="19">
        <v>350000</v>
      </c>
      <c r="K344" s="19">
        <f t="shared" si="94"/>
        <v>0</v>
      </c>
      <c r="L344" s="91" t="s">
        <v>141</v>
      </c>
      <c r="M344" s="102"/>
    </row>
    <row r="345" spans="1:13" s="3" customFormat="1" ht="66.75" customHeight="1">
      <c r="A345" s="249"/>
      <c r="B345" s="28" t="s">
        <v>250</v>
      </c>
      <c r="C345" s="73"/>
      <c r="D345" s="74"/>
      <c r="E345" s="11"/>
      <c r="F345" s="11"/>
      <c r="G345" s="11" t="s">
        <v>47</v>
      </c>
      <c r="H345" s="31">
        <v>1</v>
      </c>
      <c r="I345" s="15"/>
      <c r="J345" s="19">
        <v>580000</v>
      </c>
      <c r="K345" s="19">
        <f t="shared" ref="K345" si="99">+J345*I345*H345</f>
        <v>0</v>
      </c>
      <c r="L345" s="91" t="s">
        <v>141</v>
      </c>
      <c r="M345" s="102"/>
    </row>
    <row r="346" spans="1:13" s="3" customFormat="1" ht="66.75" customHeight="1">
      <c r="A346" s="248"/>
      <c r="B346" s="28" t="s">
        <v>249</v>
      </c>
      <c r="C346" s="73"/>
      <c r="D346" s="74">
        <f>D337</f>
        <v>0</v>
      </c>
      <c r="E346" s="11"/>
      <c r="F346" s="11"/>
      <c r="G346" s="11" t="s">
        <v>37</v>
      </c>
      <c r="H346" s="31">
        <f>D346/1000</f>
        <v>0</v>
      </c>
      <c r="I346" s="11">
        <v>1</v>
      </c>
      <c r="J346" s="53">
        <v>950000</v>
      </c>
      <c r="K346" s="19">
        <f t="shared" si="94"/>
        <v>0</v>
      </c>
      <c r="L346" s="91" t="s">
        <v>141</v>
      </c>
      <c r="M346" s="101"/>
    </row>
    <row r="347" spans="1:13" s="20" customFormat="1" ht="48.75" customHeight="1">
      <c r="A347" s="99" t="s">
        <v>239</v>
      </c>
      <c r="B347" s="244" t="s">
        <v>113</v>
      </c>
      <c r="C347" s="245"/>
      <c r="D347" s="245"/>
      <c r="E347" s="245"/>
      <c r="F347" s="245"/>
      <c r="G347" s="245"/>
      <c r="H347" s="245"/>
      <c r="I347" s="245"/>
      <c r="J347" s="246"/>
      <c r="K347" s="100">
        <f>SUM(K348:K359)</f>
        <v>0</v>
      </c>
      <c r="L347" s="124"/>
      <c r="M347" s="102"/>
    </row>
    <row r="348" spans="1:13" s="3" customFormat="1" ht="96" customHeight="1">
      <c r="A348" s="35">
        <v>1</v>
      </c>
      <c r="B348" s="28" t="s">
        <v>241</v>
      </c>
      <c r="C348" s="225"/>
      <c r="D348" s="36"/>
      <c r="E348" s="36"/>
      <c r="F348" s="36"/>
      <c r="G348" s="11" t="s">
        <v>21</v>
      </c>
      <c r="H348" s="31">
        <f>D348/1000*F348/1000</f>
        <v>0</v>
      </c>
      <c r="I348" s="11">
        <v>1</v>
      </c>
      <c r="J348" s="19">
        <v>2500000</v>
      </c>
      <c r="K348" s="19">
        <f t="shared" ref="K348:K359" si="100">+J348*I348*H348</f>
        <v>0</v>
      </c>
      <c r="L348" s="116" t="s">
        <v>242</v>
      </c>
    </row>
    <row r="349" spans="1:13" s="3" customFormat="1" ht="96" customHeight="1">
      <c r="A349" s="35">
        <v>2</v>
      </c>
      <c r="B349" s="28" t="s">
        <v>166</v>
      </c>
      <c r="C349" s="42"/>
      <c r="D349" s="36"/>
      <c r="E349" s="36"/>
      <c r="F349" s="36"/>
      <c r="G349" s="11" t="s">
        <v>21</v>
      </c>
      <c r="H349" s="31">
        <f t="shared" ref="H349" si="101">D349/1000*F349/1000</f>
        <v>0</v>
      </c>
      <c r="I349" s="11">
        <v>1</v>
      </c>
      <c r="J349" s="19">
        <v>2500000</v>
      </c>
      <c r="K349" s="19">
        <f t="shared" si="100"/>
        <v>0</v>
      </c>
      <c r="L349" s="116" t="s">
        <v>117</v>
      </c>
    </row>
    <row r="350" spans="1:13" s="3" customFormat="1" ht="96" customHeight="1">
      <c r="A350" s="247">
        <v>3</v>
      </c>
      <c r="B350" s="28" t="s">
        <v>251</v>
      </c>
      <c r="C350" s="42"/>
      <c r="D350" s="36"/>
      <c r="E350" s="36"/>
      <c r="F350" s="36"/>
      <c r="G350" s="11" t="s">
        <v>21</v>
      </c>
      <c r="H350" s="31">
        <f t="shared" ref="H350" si="102">D350/1000*F350/1000</f>
        <v>0</v>
      </c>
      <c r="I350" s="11">
        <v>1</v>
      </c>
      <c r="J350" s="19">
        <v>1400000</v>
      </c>
      <c r="K350" s="19">
        <f t="shared" si="100"/>
        <v>0</v>
      </c>
      <c r="L350" s="116" t="s">
        <v>253</v>
      </c>
    </row>
    <row r="351" spans="1:13" s="3" customFormat="1" ht="96" customHeight="1">
      <c r="A351" s="248"/>
      <c r="B351" s="28" t="s">
        <v>252</v>
      </c>
      <c r="C351" s="42"/>
      <c r="D351" s="36"/>
      <c r="E351" s="36"/>
      <c r="F351" s="36"/>
      <c r="G351" s="55" t="s">
        <v>49</v>
      </c>
      <c r="H351" s="63">
        <v>1</v>
      </c>
      <c r="I351" s="11">
        <v>1</v>
      </c>
      <c r="J351" s="19"/>
      <c r="K351" s="19">
        <f t="shared" si="100"/>
        <v>0</v>
      </c>
      <c r="L351" s="116"/>
    </row>
    <row r="352" spans="1:13" s="3" customFormat="1" ht="96" customHeight="1">
      <c r="A352" s="170">
        <v>4</v>
      </c>
      <c r="B352" s="62" t="s">
        <v>243</v>
      </c>
      <c r="C352" s="62"/>
      <c r="D352" s="44"/>
      <c r="E352" s="44"/>
      <c r="F352" s="44"/>
      <c r="G352" s="55" t="s">
        <v>49</v>
      </c>
      <c r="H352" s="63">
        <v>1</v>
      </c>
      <c r="I352" s="55"/>
      <c r="J352" s="53">
        <f>6500000+400000</f>
        <v>6900000</v>
      </c>
      <c r="K352" s="19">
        <f t="shared" si="100"/>
        <v>0</v>
      </c>
      <c r="L352" s="198" t="s">
        <v>245</v>
      </c>
    </row>
    <row r="353" spans="1:13" s="3" customFormat="1" ht="96" customHeight="1">
      <c r="A353" s="11">
        <v>5</v>
      </c>
      <c r="B353" s="28" t="s">
        <v>244</v>
      </c>
      <c r="C353" s="28"/>
      <c r="D353" s="36"/>
      <c r="E353" s="36"/>
      <c r="F353" s="36"/>
      <c r="G353" s="11" t="s">
        <v>21</v>
      </c>
      <c r="H353" s="31">
        <f t="shared" ref="H353" si="103">D353/1000*F353/1000</f>
        <v>0</v>
      </c>
      <c r="I353" s="11">
        <v>1</v>
      </c>
      <c r="J353" s="53">
        <v>3000000</v>
      </c>
      <c r="K353" s="19">
        <f t="shared" si="100"/>
        <v>0</v>
      </c>
      <c r="L353" s="116" t="s">
        <v>118</v>
      </c>
    </row>
    <row r="354" spans="1:13" s="3" customFormat="1" ht="66.75" customHeight="1">
      <c r="A354" s="247">
        <v>6</v>
      </c>
      <c r="B354" s="28" t="s">
        <v>246</v>
      </c>
      <c r="C354" s="28"/>
      <c r="D354" s="36"/>
      <c r="E354" s="36"/>
      <c r="F354" s="36"/>
      <c r="G354" s="11" t="s">
        <v>47</v>
      </c>
      <c r="H354" s="31">
        <v>1</v>
      </c>
      <c r="I354" s="11"/>
      <c r="J354" s="19">
        <v>850000</v>
      </c>
      <c r="K354" s="19">
        <f t="shared" si="100"/>
        <v>0</v>
      </c>
      <c r="L354" s="72" t="s">
        <v>81</v>
      </c>
      <c r="M354" s="102"/>
    </row>
    <row r="355" spans="1:13" s="3" customFormat="1" ht="66.75" customHeight="1">
      <c r="A355" s="249"/>
      <c r="B355" s="28" t="s">
        <v>246</v>
      </c>
      <c r="C355" s="28"/>
      <c r="D355" s="36"/>
      <c r="E355" s="36"/>
      <c r="F355" s="36"/>
      <c r="G355" s="11" t="s">
        <v>37</v>
      </c>
      <c r="H355" s="31">
        <f>D355/1000</f>
        <v>0</v>
      </c>
      <c r="I355" s="11">
        <v>1</v>
      </c>
      <c r="J355" s="19">
        <v>850000</v>
      </c>
      <c r="K355" s="19">
        <f t="shared" si="100"/>
        <v>0</v>
      </c>
      <c r="L355" s="72" t="s">
        <v>81</v>
      </c>
      <c r="M355" s="102"/>
    </row>
    <row r="356" spans="1:13" s="3" customFormat="1" ht="66.75" customHeight="1">
      <c r="A356" s="248"/>
      <c r="B356" s="28" t="s">
        <v>247</v>
      </c>
      <c r="C356" s="28"/>
      <c r="D356" s="36"/>
      <c r="E356" s="36"/>
      <c r="F356" s="36"/>
      <c r="G356" s="11" t="s">
        <v>37</v>
      </c>
      <c r="H356" s="31">
        <f>D356/1000</f>
        <v>0</v>
      </c>
      <c r="I356" s="11">
        <v>1</v>
      </c>
      <c r="J356" s="19">
        <v>1200000</v>
      </c>
      <c r="K356" s="19">
        <f t="shared" si="100"/>
        <v>0</v>
      </c>
      <c r="L356" s="72" t="s">
        <v>81</v>
      </c>
      <c r="M356" s="102"/>
    </row>
    <row r="357" spans="1:13" s="3" customFormat="1" ht="66.75" customHeight="1">
      <c r="A357" s="247">
        <v>7</v>
      </c>
      <c r="B357" s="28" t="s">
        <v>248</v>
      </c>
      <c r="C357" s="73"/>
      <c r="D357" s="74"/>
      <c r="E357" s="11"/>
      <c r="F357" s="11"/>
      <c r="G357" s="11" t="s">
        <v>47</v>
      </c>
      <c r="H357" s="31">
        <v>1</v>
      </c>
      <c r="I357" s="15"/>
      <c r="J357" s="19">
        <v>350000</v>
      </c>
      <c r="K357" s="19">
        <f t="shared" si="100"/>
        <v>0</v>
      </c>
      <c r="L357" s="91" t="s">
        <v>141</v>
      </c>
      <c r="M357" s="102"/>
    </row>
    <row r="358" spans="1:13" s="3" customFormat="1" ht="66.75" customHeight="1">
      <c r="A358" s="249"/>
      <c r="B358" s="28" t="s">
        <v>250</v>
      </c>
      <c r="C358" s="73"/>
      <c r="D358" s="74"/>
      <c r="E358" s="11"/>
      <c r="F358" s="11"/>
      <c r="G358" s="11" t="s">
        <v>47</v>
      </c>
      <c r="H358" s="31">
        <v>1</v>
      </c>
      <c r="I358" s="15"/>
      <c r="J358" s="19">
        <v>580000</v>
      </c>
      <c r="K358" s="19">
        <f t="shared" si="100"/>
        <v>0</v>
      </c>
      <c r="L358" s="91" t="s">
        <v>141</v>
      </c>
      <c r="M358" s="102"/>
    </row>
    <row r="359" spans="1:13" s="3" customFormat="1" ht="66.75" customHeight="1">
      <c r="A359" s="248"/>
      <c r="B359" s="28" t="s">
        <v>249</v>
      </c>
      <c r="C359" s="73"/>
      <c r="D359" s="74">
        <f>D348</f>
        <v>0</v>
      </c>
      <c r="E359" s="11"/>
      <c r="F359" s="11"/>
      <c r="G359" s="11" t="s">
        <v>37</v>
      </c>
      <c r="H359" s="31">
        <f>D359/1000</f>
        <v>0</v>
      </c>
      <c r="I359" s="11">
        <v>1</v>
      </c>
      <c r="J359" s="53">
        <v>950000</v>
      </c>
      <c r="K359" s="19">
        <f t="shared" si="100"/>
        <v>0</v>
      </c>
      <c r="L359" s="91" t="s">
        <v>141</v>
      </c>
      <c r="M359" s="101"/>
    </row>
    <row r="360" spans="1:13" s="20" customFormat="1" ht="48.75" customHeight="1">
      <c r="A360" s="99" t="s">
        <v>240</v>
      </c>
      <c r="B360" s="244" t="s">
        <v>227</v>
      </c>
      <c r="C360" s="245"/>
      <c r="D360" s="245"/>
      <c r="E360" s="245"/>
      <c r="F360" s="245"/>
      <c r="G360" s="245"/>
      <c r="H360" s="245"/>
      <c r="I360" s="245"/>
      <c r="J360" s="246"/>
      <c r="K360" s="100">
        <f>SUM(K361:K372)</f>
        <v>0</v>
      </c>
      <c r="L360" s="124"/>
      <c r="M360" s="102"/>
    </row>
    <row r="361" spans="1:13" s="3" customFormat="1" ht="96" customHeight="1">
      <c r="A361" s="35">
        <v>1</v>
      </c>
      <c r="B361" s="28" t="s">
        <v>241</v>
      </c>
      <c r="C361" s="225"/>
      <c r="D361" s="36"/>
      <c r="E361" s="36"/>
      <c r="F361" s="36"/>
      <c r="G361" s="11" t="s">
        <v>21</v>
      </c>
      <c r="H361" s="31">
        <f>D361/1000*F361/1000</f>
        <v>0</v>
      </c>
      <c r="I361" s="11">
        <v>1</v>
      </c>
      <c r="J361" s="19">
        <v>2500000</v>
      </c>
      <c r="K361" s="19">
        <f t="shared" ref="K361:K372" si="104">+J361*I361*H361</f>
        <v>0</v>
      </c>
      <c r="L361" s="116" t="s">
        <v>242</v>
      </c>
    </row>
    <row r="362" spans="1:13" s="3" customFormat="1" ht="96" customHeight="1">
      <c r="A362" s="35">
        <v>2</v>
      </c>
      <c r="B362" s="28" t="s">
        <v>166</v>
      </c>
      <c r="C362" s="42"/>
      <c r="D362" s="36"/>
      <c r="E362" s="36"/>
      <c r="F362" s="36"/>
      <c r="G362" s="11" t="s">
        <v>21</v>
      </c>
      <c r="H362" s="31">
        <f t="shared" ref="H362:H363" si="105">D362/1000*F362/1000</f>
        <v>0</v>
      </c>
      <c r="I362" s="11">
        <v>1</v>
      </c>
      <c r="J362" s="19">
        <v>2500000</v>
      </c>
      <c r="K362" s="19">
        <f t="shared" si="104"/>
        <v>0</v>
      </c>
      <c r="L362" s="116" t="s">
        <v>117</v>
      </c>
    </row>
    <row r="363" spans="1:13" s="3" customFormat="1" ht="96" customHeight="1">
      <c r="A363" s="247">
        <v>3</v>
      </c>
      <c r="B363" s="28" t="s">
        <v>251</v>
      </c>
      <c r="C363" s="42"/>
      <c r="D363" s="36"/>
      <c r="E363" s="36"/>
      <c r="F363" s="36"/>
      <c r="G363" s="11" t="s">
        <v>21</v>
      </c>
      <c r="H363" s="31">
        <f t="shared" si="105"/>
        <v>0</v>
      </c>
      <c r="I363" s="11">
        <v>1</v>
      </c>
      <c r="J363" s="19">
        <v>1400000</v>
      </c>
      <c r="K363" s="19">
        <f t="shared" si="104"/>
        <v>0</v>
      </c>
      <c r="L363" s="116" t="s">
        <v>253</v>
      </c>
    </row>
    <row r="364" spans="1:13" s="3" customFormat="1" ht="96" customHeight="1">
      <c r="A364" s="248"/>
      <c r="B364" s="28" t="s">
        <v>252</v>
      </c>
      <c r="C364" s="42"/>
      <c r="D364" s="36"/>
      <c r="E364" s="36"/>
      <c r="F364" s="36"/>
      <c r="G364" s="55" t="s">
        <v>49</v>
      </c>
      <c r="H364" s="63">
        <v>1</v>
      </c>
      <c r="I364" s="11">
        <v>1</v>
      </c>
      <c r="J364" s="19"/>
      <c r="K364" s="19">
        <f t="shared" si="104"/>
        <v>0</v>
      </c>
      <c r="L364" s="116"/>
    </row>
    <row r="365" spans="1:13" s="3" customFormat="1" ht="96" customHeight="1">
      <c r="A365" s="170">
        <v>4</v>
      </c>
      <c r="B365" s="62" t="s">
        <v>243</v>
      </c>
      <c r="C365" s="62"/>
      <c r="D365" s="44"/>
      <c r="E365" s="44"/>
      <c r="F365" s="44"/>
      <c r="G365" s="55" t="s">
        <v>49</v>
      </c>
      <c r="H365" s="63">
        <v>1</v>
      </c>
      <c r="I365" s="55"/>
      <c r="J365" s="53">
        <f>6500000+400000</f>
        <v>6900000</v>
      </c>
      <c r="K365" s="19">
        <f t="shared" si="104"/>
        <v>0</v>
      </c>
      <c r="L365" s="198" t="s">
        <v>245</v>
      </c>
    </row>
    <row r="366" spans="1:13" s="3" customFormat="1" ht="96" customHeight="1">
      <c r="A366" s="11">
        <v>5</v>
      </c>
      <c r="B366" s="28" t="s">
        <v>244</v>
      </c>
      <c r="C366" s="28"/>
      <c r="D366" s="36"/>
      <c r="E366" s="36"/>
      <c r="F366" s="36"/>
      <c r="G366" s="11" t="s">
        <v>21</v>
      </c>
      <c r="H366" s="31">
        <f t="shared" ref="H366" si="106">D366/1000*F366/1000</f>
        <v>0</v>
      </c>
      <c r="I366" s="11">
        <v>1</v>
      </c>
      <c r="J366" s="53">
        <v>3000000</v>
      </c>
      <c r="K366" s="19">
        <f t="shared" si="104"/>
        <v>0</v>
      </c>
      <c r="L366" s="116" t="s">
        <v>118</v>
      </c>
    </row>
    <row r="367" spans="1:13" s="3" customFormat="1" ht="66.75" customHeight="1">
      <c r="A367" s="247">
        <v>6</v>
      </c>
      <c r="B367" s="28" t="s">
        <v>246</v>
      </c>
      <c r="C367" s="28"/>
      <c r="D367" s="36"/>
      <c r="E367" s="36"/>
      <c r="F367" s="36"/>
      <c r="G367" s="11" t="s">
        <v>47</v>
      </c>
      <c r="H367" s="31">
        <v>1</v>
      </c>
      <c r="I367" s="11"/>
      <c r="J367" s="19">
        <v>850000</v>
      </c>
      <c r="K367" s="19">
        <f t="shared" si="104"/>
        <v>0</v>
      </c>
      <c r="L367" s="72" t="s">
        <v>81</v>
      </c>
      <c r="M367" s="102"/>
    </row>
    <row r="368" spans="1:13" s="3" customFormat="1" ht="66.75" customHeight="1">
      <c r="A368" s="249"/>
      <c r="B368" s="28" t="s">
        <v>246</v>
      </c>
      <c r="C368" s="28"/>
      <c r="D368" s="36"/>
      <c r="E368" s="36"/>
      <c r="F368" s="36"/>
      <c r="G368" s="11" t="s">
        <v>37</v>
      </c>
      <c r="H368" s="31">
        <f>D368/1000</f>
        <v>0</v>
      </c>
      <c r="I368" s="11">
        <v>1</v>
      </c>
      <c r="J368" s="19">
        <v>850000</v>
      </c>
      <c r="K368" s="19">
        <f t="shared" si="104"/>
        <v>0</v>
      </c>
      <c r="L368" s="72" t="s">
        <v>81</v>
      </c>
      <c r="M368" s="102"/>
    </row>
    <row r="369" spans="1:14" s="3" customFormat="1" ht="66.75" customHeight="1">
      <c r="A369" s="248"/>
      <c r="B369" s="28" t="s">
        <v>247</v>
      </c>
      <c r="C369" s="28"/>
      <c r="D369" s="36"/>
      <c r="E369" s="36"/>
      <c r="F369" s="36"/>
      <c r="G369" s="11" t="s">
        <v>37</v>
      </c>
      <c r="H369" s="31">
        <f>D369/1000</f>
        <v>0</v>
      </c>
      <c r="I369" s="11">
        <v>1</v>
      </c>
      <c r="J369" s="19">
        <v>1200000</v>
      </c>
      <c r="K369" s="19">
        <f t="shared" si="104"/>
        <v>0</v>
      </c>
      <c r="L369" s="72" t="s">
        <v>81</v>
      </c>
      <c r="M369" s="102"/>
    </row>
    <row r="370" spans="1:14" s="3" customFormat="1" ht="66.75" customHeight="1">
      <c r="A370" s="247">
        <v>7</v>
      </c>
      <c r="B370" s="28" t="s">
        <v>248</v>
      </c>
      <c r="C370" s="73"/>
      <c r="D370" s="74"/>
      <c r="E370" s="11"/>
      <c r="F370" s="11"/>
      <c r="G370" s="11" t="s">
        <v>47</v>
      </c>
      <c r="H370" s="31">
        <v>1</v>
      </c>
      <c r="I370" s="15"/>
      <c r="J370" s="19">
        <v>350000</v>
      </c>
      <c r="K370" s="19">
        <f t="shared" si="104"/>
        <v>0</v>
      </c>
      <c r="L370" s="91" t="s">
        <v>141</v>
      </c>
      <c r="M370" s="102"/>
    </row>
    <row r="371" spans="1:14" s="3" customFormat="1" ht="66.75" customHeight="1">
      <c r="A371" s="249"/>
      <c r="B371" s="28" t="s">
        <v>250</v>
      </c>
      <c r="C371" s="73"/>
      <c r="D371" s="74"/>
      <c r="E371" s="11"/>
      <c r="F371" s="11"/>
      <c r="G371" s="11" t="s">
        <v>47</v>
      </c>
      <c r="H371" s="31">
        <v>1</v>
      </c>
      <c r="I371" s="15"/>
      <c r="J371" s="19">
        <v>580000</v>
      </c>
      <c r="K371" s="19">
        <f t="shared" si="104"/>
        <v>0</v>
      </c>
      <c r="L371" s="91" t="s">
        <v>141</v>
      </c>
      <c r="M371" s="102"/>
    </row>
    <row r="372" spans="1:14" s="3" customFormat="1" ht="66.75" customHeight="1">
      <c r="A372" s="248"/>
      <c r="B372" s="28" t="s">
        <v>249</v>
      </c>
      <c r="C372" s="73"/>
      <c r="D372" s="74">
        <f>D361</f>
        <v>0</v>
      </c>
      <c r="E372" s="11"/>
      <c r="F372" s="11"/>
      <c r="G372" s="11" t="s">
        <v>37</v>
      </c>
      <c r="H372" s="31">
        <f>D372/1000</f>
        <v>0</v>
      </c>
      <c r="I372" s="11">
        <v>1</v>
      </c>
      <c r="J372" s="53">
        <v>950000</v>
      </c>
      <c r="K372" s="19">
        <f t="shared" si="104"/>
        <v>0</v>
      </c>
      <c r="L372" s="91" t="s">
        <v>141</v>
      </c>
      <c r="M372" s="101"/>
    </row>
    <row r="373" spans="1:14" s="20" customFormat="1" ht="53.25" customHeight="1">
      <c r="A373" s="41" t="s">
        <v>164</v>
      </c>
      <c r="B373" s="252" t="s">
        <v>50</v>
      </c>
      <c r="C373" s="252"/>
      <c r="D373" s="252"/>
      <c r="E373" s="252"/>
      <c r="F373" s="252"/>
      <c r="G373" s="252"/>
      <c r="H373" s="252"/>
      <c r="I373" s="252"/>
      <c r="J373" s="252"/>
      <c r="K373" s="58">
        <f>SUM(K374:K418)</f>
        <v>0</v>
      </c>
      <c r="L373" s="59"/>
      <c r="M373" s="102"/>
      <c r="N373" s="3"/>
    </row>
    <row r="374" spans="1:14" s="3" customFormat="1" ht="105.75" customHeight="1">
      <c r="A374" s="247">
        <v>1</v>
      </c>
      <c r="B374" s="75" t="s">
        <v>254</v>
      </c>
      <c r="C374" s="76"/>
      <c r="D374" s="77"/>
      <c r="E374" s="77"/>
      <c r="F374" s="77"/>
      <c r="G374" s="64" t="s">
        <v>21</v>
      </c>
      <c r="H374" s="78"/>
      <c r="I374" s="64">
        <v>1</v>
      </c>
      <c r="J374" s="53">
        <v>440000</v>
      </c>
      <c r="K374" s="53">
        <f>H374*I374*J374</f>
        <v>0</v>
      </c>
      <c r="L374" s="271" t="s">
        <v>284</v>
      </c>
      <c r="M374" s="102"/>
    </row>
    <row r="375" spans="1:14" s="3" customFormat="1" ht="105.75" customHeight="1">
      <c r="A375" s="249"/>
      <c r="B375" s="75" t="s">
        <v>255</v>
      </c>
      <c r="C375" s="76"/>
      <c r="D375" s="77"/>
      <c r="E375" s="77"/>
      <c r="F375" s="77"/>
      <c r="G375" s="64" t="s">
        <v>21</v>
      </c>
      <c r="H375" s="78"/>
      <c r="I375" s="64">
        <v>1</v>
      </c>
      <c r="J375" s="53">
        <v>440000</v>
      </c>
      <c r="K375" s="53">
        <f t="shared" ref="K375:K418" si="107">H375*I375*J375</f>
        <v>0</v>
      </c>
      <c r="L375" s="272"/>
      <c r="M375" s="102"/>
    </row>
    <row r="376" spans="1:14" s="3" customFormat="1" ht="105.75" customHeight="1">
      <c r="A376" s="249"/>
      <c r="B376" s="75" t="s">
        <v>256</v>
      </c>
      <c r="C376" s="76"/>
      <c r="D376" s="77"/>
      <c r="E376" s="77"/>
      <c r="F376" s="77"/>
      <c r="G376" s="64" t="s">
        <v>21</v>
      </c>
      <c r="H376" s="78"/>
      <c r="I376" s="64">
        <v>1</v>
      </c>
      <c r="J376" s="53">
        <v>440000</v>
      </c>
      <c r="K376" s="53">
        <f t="shared" ref="K376" si="108">H376*I376*J376</f>
        <v>0</v>
      </c>
      <c r="L376" s="272"/>
      <c r="M376" s="102"/>
    </row>
    <row r="377" spans="1:14" s="23" customFormat="1" ht="105.75" customHeight="1">
      <c r="A377" s="249"/>
      <c r="B377" s="75" t="s">
        <v>257</v>
      </c>
      <c r="C377" s="212"/>
      <c r="D377" s="77"/>
      <c r="E377" s="77"/>
      <c r="F377" s="77"/>
      <c r="G377" s="64" t="s">
        <v>22</v>
      </c>
      <c r="H377" s="78">
        <v>1</v>
      </c>
      <c r="I377" s="64">
        <v>1</v>
      </c>
      <c r="J377" s="53"/>
      <c r="K377" s="53">
        <f t="shared" si="107"/>
        <v>0</v>
      </c>
      <c r="L377" s="272"/>
      <c r="M377" s="215"/>
    </row>
    <row r="378" spans="1:14" s="3" customFormat="1" ht="105.75" customHeight="1">
      <c r="A378" s="248"/>
      <c r="B378" s="75" t="s">
        <v>51</v>
      </c>
      <c r="C378" s="76"/>
      <c r="D378" s="77"/>
      <c r="E378" s="77"/>
      <c r="F378" s="77"/>
      <c r="G378" s="64" t="s">
        <v>52</v>
      </c>
      <c r="H378" s="78">
        <v>1</v>
      </c>
      <c r="I378" s="64"/>
      <c r="J378" s="53">
        <v>800000</v>
      </c>
      <c r="K378" s="53">
        <f t="shared" si="107"/>
        <v>0</v>
      </c>
      <c r="L378" s="273"/>
      <c r="M378" s="101"/>
    </row>
    <row r="379" spans="1:14" s="3" customFormat="1" ht="93.75" customHeight="1">
      <c r="A379" s="247">
        <v>2</v>
      </c>
      <c r="B379" s="28" t="s">
        <v>53</v>
      </c>
      <c r="C379" s="28"/>
      <c r="D379" s="36"/>
      <c r="E379" s="40"/>
      <c r="F379" s="11"/>
      <c r="G379" s="40" t="s">
        <v>54</v>
      </c>
      <c r="H379" s="31">
        <v>1</v>
      </c>
      <c r="I379" s="11">
        <v>1</v>
      </c>
      <c r="J379" s="19"/>
      <c r="K379" s="53">
        <f t="shared" si="107"/>
        <v>0</v>
      </c>
      <c r="L379" s="51" t="s">
        <v>55</v>
      </c>
      <c r="M379" s="102"/>
      <c r="N379" s="23"/>
    </row>
    <row r="380" spans="1:14" s="3" customFormat="1" ht="93" customHeight="1">
      <c r="A380" s="249"/>
      <c r="B380" s="28" t="s">
        <v>258</v>
      </c>
      <c r="C380" s="184"/>
      <c r="D380" s="36"/>
      <c r="E380" s="40"/>
      <c r="F380" s="11"/>
      <c r="G380" s="11" t="s">
        <v>42</v>
      </c>
      <c r="H380" s="31">
        <v>1</v>
      </c>
      <c r="I380" s="11"/>
      <c r="J380" s="19">
        <v>160000</v>
      </c>
      <c r="K380" s="53">
        <f t="shared" si="107"/>
        <v>0</v>
      </c>
      <c r="L380" s="274" t="s">
        <v>56</v>
      </c>
      <c r="M380" s="102"/>
    </row>
    <row r="381" spans="1:14" s="3" customFormat="1" ht="78.75" customHeight="1">
      <c r="A381" s="249"/>
      <c r="B381" s="28" t="s">
        <v>259</v>
      </c>
      <c r="C381" s="184"/>
      <c r="D381" s="36"/>
      <c r="E381" s="40"/>
      <c r="F381" s="11"/>
      <c r="G381" s="11" t="s">
        <v>42</v>
      </c>
      <c r="H381" s="31">
        <v>1</v>
      </c>
      <c r="I381" s="11"/>
      <c r="J381" s="19">
        <v>200000</v>
      </c>
      <c r="K381" s="53">
        <f t="shared" si="107"/>
        <v>0</v>
      </c>
      <c r="L381" s="275"/>
      <c r="M381" s="102"/>
    </row>
    <row r="382" spans="1:14" s="3" customFormat="1" ht="90" customHeight="1">
      <c r="A382" s="249"/>
      <c r="B382" s="62" t="s">
        <v>260</v>
      </c>
      <c r="C382" s="146"/>
      <c r="D382" s="36"/>
      <c r="E382" s="40"/>
      <c r="F382" s="11"/>
      <c r="G382" s="11" t="s">
        <v>42</v>
      </c>
      <c r="H382" s="31">
        <v>1</v>
      </c>
      <c r="I382" s="11"/>
      <c r="J382" s="19"/>
      <c r="K382" s="53">
        <f t="shared" ref="K382:K383" si="109">H382*I382*J382</f>
        <v>0</v>
      </c>
      <c r="L382" s="75" t="s">
        <v>57</v>
      </c>
      <c r="M382" s="102"/>
    </row>
    <row r="383" spans="1:14" s="3" customFormat="1" ht="138" customHeight="1">
      <c r="A383" s="249"/>
      <c r="B383" s="62" t="s">
        <v>266</v>
      </c>
      <c r="C383" s="180" t="s">
        <v>172</v>
      </c>
      <c r="D383" s="36"/>
      <c r="E383" s="40"/>
      <c r="F383" s="11"/>
      <c r="G383" s="11" t="s">
        <v>42</v>
      </c>
      <c r="H383" s="112">
        <v>1</v>
      </c>
      <c r="I383" s="11"/>
      <c r="J383" s="19">
        <v>120000</v>
      </c>
      <c r="K383" s="19">
        <f t="shared" si="109"/>
        <v>0</v>
      </c>
      <c r="L383" s="75" t="s">
        <v>267</v>
      </c>
      <c r="M383" s="102"/>
    </row>
    <row r="384" spans="1:14" s="23" customFormat="1" ht="169.5" customHeight="1">
      <c r="A384" s="249"/>
      <c r="B384" s="62" t="s">
        <v>263</v>
      </c>
      <c r="C384" s="180" t="s">
        <v>172</v>
      </c>
      <c r="D384" s="44"/>
      <c r="E384" s="92"/>
      <c r="F384" s="55"/>
      <c r="G384" s="55" t="s">
        <v>47</v>
      </c>
      <c r="H384" s="63">
        <v>1</v>
      </c>
      <c r="I384" s="55"/>
      <c r="J384" s="53">
        <v>600000</v>
      </c>
      <c r="K384" s="53">
        <f t="shared" si="107"/>
        <v>0</v>
      </c>
      <c r="L384" s="140" t="s">
        <v>173</v>
      </c>
      <c r="M384" s="102"/>
    </row>
    <row r="385" spans="1:13" s="3" customFormat="1" ht="231" customHeight="1">
      <c r="A385" s="249"/>
      <c r="B385" s="75" t="s">
        <v>265</v>
      </c>
      <c r="C385" s="235" t="s">
        <v>187</v>
      </c>
      <c r="D385" s="236"/>
      <c r="E385" s="237"/>
      <c r="F385" s="238"/>
      <c r="G385" s="11" t="s">
        <v>42</v>
      </c>
      <c r="H385" s="31">
        <v>1</v>
      </c>
      <c r="I385" s="11"/>
      <c r="J385" s="239">
        <v>170000</v>
      </c>
      <c r="K385" s="241">
        <f t="shared" ref="K385" si="110">E385*I385*J385</f>
        <v>0</v>
      </c>
      <c r="L385" s="242" t="s">
        <v>264</v>
      </c>
      <c r="M385" s="102"/>
    </row>
    <row r="386" spans="1:13" s="3" customFormat="1" ht="172.5" customHeight="1">
      <c r="A386" s="249"/>
      <c r="B386" s="75" t="s">
        <v>261</v>
      </c>
      <c r="C386" s="180" t="s">
        <v>172</v>
      </c>
      <c r="D386" s="236"/>
      <c r="E386" s="237"/>
      <c r="F386" s="238"/>
      <c r="G386" s="11" t="s">
        <v>42</v>
      </c>
      <c r="H386" s="31">
        <v>1</v>
      </c>
      <c r="I386" s="11"/>
      <c r="J386" s="239">
        <v>568000</v>
      </c>
      <c r="K386" s="239">
        <f t="shared" ref="K386" si="111">E386*I386*J386</f>
        <v>0</v>
      </c>
      <c r="L386" s="240" t="s">
        <v>262</v>
      </c>
      <c r="M386" s="102"/>
    </row>
    <row r="387" spans="1:13" s="23" customFormat="1" ht="86.25" customHeight="1">
      <c r="A387" s="249"/>
      <c r="B387" s="62" t="s">
        <v>198</v>
      </c>
      <c r="C387" s="216"/>
      <c r="D387" s="44"/>
      <c r="E387" s="92"/>
      <c r="F387" s="55"/>
      <c r="G387" s="55" t="s">
        <v>42</v>
      </c>
      <c r="H387" s="63">
        <v>1</v>
      </c>
      <c r="I387" s="55">
        <v>1</v>
      </c>
      <c r="J387" s="53"/>
      <c r="K387" s="53">
        <f t="shared" si="107"/>
        <v>0</v>
      </c>
      <c r="L387" s="217" t="s">
        <v>57</v>
      </c>
      <c r="M387" s="101"/>
    </row>
    <row r="388" spans="1:13" s="3" customFormat="1" ht="117.75" customHeight="1">
      <c r="A388" s="249"/>
      <c r="B388" s="62" t="s">
        <v>282</v>
      </c>
      <c r="C388" s="76"/>
      <c r="D388" s="44"/>
      <c r="E388" s="92"/>
      <c r="F388" s="55"/>
      <c r="G388" s="55" t="s">
        <v>37</v>
      </c>
      <c r="H388" s="113">
        <f>SUM(H389:H392)</f>
        <v>0</v>
      </c>
      <c r="I388" s="55">
        <v>1</v>
      </c>
      <c r="J388" s="53">
        <v>400000</v>
      </c>
      <c r="K388" s="53">
        <f t="shared" si="107"/>
        <v>0</v>
      </c>
      <c r="L388" s="213" t="s">
        <v>283</v>
      </c>
      <c r="M388" s="102"/>
    </row>
    <row r="389" spans="1:13" s="3" customFormat="1" ht="52.5" hidden="1" customHeight="1" outlineLevel="1">
      <c r="A389" s="249"/>
      <c r="B389" s="29"/>
      <c r="C389" s="185"/>
      <c r="D389" s="30"/>
      <c r="E389" s="65"/>
      <c r="F389" s="33"/>
      <c r="G389" s="33" t="s">
        <v>37</v>
      </c>
      <c r="H389" s="114">
        <f>D389/1000</f>
        <v>0</v>
      </c>
      <c r="I389" s="11"/>
      <c r="J389" s="19"/>
      <c r="K389" s="53">
        <f t="shared" si="107"/>
        <v>0</v>
      </c>
      <c r="L389" s="140"/>
      <c r="M389" s="102"/>
    </row>
    <row r="390" spans="1:13" s="3" customFormat="1" ht="52.5" hidden="1" customHeight="1" outlineLevel="1">
      <c r="A390" s="249"/>
      <c r="B390" s="29"/>
      <c r="C390" s="185"/>
      <c r="D390" s="30"/>
      <c r="E390" s="65"/>
      <c r="F390" s="33"/>
      <c r="G390" s="33" t="s">
        <v>37</v>
      </c>
      <c r="H390" s="114">
        <f t="shared" ref="H390" si="112">D390/1000</f>
        <v>0</v>
      </c>
      <c r="I390" s="11"/>
      <c r="J390" s="19"/>
      <c r="K390" s="53">
        <f t="shared" si="107"/>
        <v>0</v>
      </c>
      <c r="L390" s="140"/>
      <c r="M390" s="102"/>
    </row>
    <row r="391" spans="1:13" s="3" customFormat="1" ht="52.5" hidden="1" customHeight="1" outlineLevel="1">
      <c r="A391" s="249"/>
      <c r="B391" s="29"/>
      <c r="C391" s="185"/>
      <c r="D391" s="30"/>
      <c r="E391" s="65"/>
      <c r="F391" s="33"/>
      <c r="G391" s="33" t="s">
        <v>37</v>
      </c>
      <c r="H391" s="114">
        <f t="shared" ref="H391" si="113">D391/1000</f>
        <v>0</v>
      </c>
      <c r="I391" s="11"/>
      <c r="J391" s="19"/>
      <c r="K391" s="53">
        <f t="shared" si="107"/>
        <v>0</v>
      </c>
      <c r="L391" s="140"/>
      <c r="M391" s="102"/>
    </row>
    <row r="392" spans="1:13" s="3" customFormat="1" ht="52.5" hidden="1" customHeight="1" outlineLevel="1">
      <c r="A392" s="248"/>
      <c r="B392" s="29"/>
      <c r="C392" s="185"/>
      <c r="D392" s="30"/>
      <c r="E392" s="65"/>
      <c r="F392" s="33"/>
      <c r="G392" s="33" t="s">
        <v>37</v>
      </c>
      <c r="H392" s="114">
        <f t="shared" ref="H392" si="114">D392/1000</f>
        <v>0</v>
      </c>
      <c r="I392" s="11"/>
      <c r="J392" s="19"/>
      <c r="K392" s="53">
        <f t="shared" si="107"/>
        <v>0</v>
      </c>
      <c r="L392" s="140"/>
      <c r="M392" s="174"/>
    </row>
    <row r="393" spans="1:13" s="23" customFormat="1" ht="81.75" customHeight="1" collapsed="1">
      <c r="A393" s="286">
        <v>3</v>
      </c>
      <c r="B393" s="62" t="s">
        <v>200</v>
      </c>
      <c r="C393" s="62"/>
      <c r="D393" s="44"/>
      <c r="E393" s="92"/>
      <c r="F393" s="55"/>
      <c r="G393" s="55" t="s">
        <v>22</v>
      </c>
      <c r="H393" s="113">
        <v>1</v>
      </c>
      <c r="I393" s="55">
        <v>0</v>
      </c>
      <c r="J393" s="53">
        <v>800000</v>
      </c>
      <c r="K393" s="53">
        <f t="shared" si="107"/>
        <v>0</v>
      </c>
      <c r="L393" s="71" t="s">
        <v>149</v>
      </c>
      <c r="M393" s="174"/>
    </row>
    <row r="394" spans="1:13" s="23" customFormat="1" ht="66.75" customHeight="1">
      <c r="A394" s="286"/>
      <c r="B394" s="62" t="s">
        <v>201</v>
      </c>
      <c r="C394" s="62"/>
      <c r="D394" s="44"/>
      <c r="E394" s="92"/>
      <c r="F394" s="55"/>
      <c r="G394" s="55" t="s">
        <v>42</v>
      </c>
      <c r="H394" s="113">
        <v>1</v>
      </c>
      <c r="I394" s="55">
        <v>1</v>
      </c>
      <c r="J394" s="53"/>
      <c r="K394" s="53">
        <f t="shared" si="107"/>
        <v>0</v>
      </c>
      <c r="L394" s="62" t="s">
        <v>57</v>
      </c>
      <c r="M394" s="174"/>
    </row>
    <row r="395" spans="1:13" s="175" customFormat="1" ht="261" customHeight="1">
      <c r="A395" s="247">
        <v>4</v>
      </c>
      <c r="B395" s="62" t="s">
        <v>87</v>
      </c>
      <c r="C395" s="172"/>
      <c r="D395" s="44"/>
      <c r="E395" s="44"/>
      <c r="F395" s="44"/>
      <c r="G395" s="55" t="s">
        <v>86</v>
      </c>
      <c r="H395" s="63">
        <v>1</v>
      </c>
      <c r="I395" s="55">
        <v>1</v>
      </c>
      <c r="J395" s="53"/>
      <c r="K395" s="53">
        <f t="shared" si="107"/>
        <v>0</v>
      </c>
      <c r="L395" s="173" t="s">
        <v>170</v>
      </c>
      <c r="M395" s="178"/>
    </row>
    <row r="396" spans="1:13" s="23" customFormat="1" ht="84.75" customHeight="1">
      <c r="A396" s="249"/>
      <c r="B396" s="62" t="s">
        <v>193</v>
      </c>
      <c r="C396" s="176"/>
      <c r="D396" s="44"/>
      <c r="E396" s="44"/>
      <c r="F396" s="44"/>
      <c r="G396" s="55" t="s">
        <v>22</v>
      </c>
      <c r="H396" s="63">
        <v>1</v>
      </c>
      <c r="I396" s="186"/>
      <c r="J396" s="53"/>
      <c r="K396" s="53">
        <f t="shared" si="107"/>
        <v>0</v>
      </c>
      <c r="L396" s="177" t="s">
        <v>161</v>
      </c>
      <c r="M396" s="101"/>
    </row>
    <row r="397" spans="1:13" s="23" customFormat="1" ht="204.75" customHeight="1">
      <c r="A397" s="249"/>
      <c r="B397" s="62" t="s">
        <v>288</v>
      </c>
      <c r="C397" s="218"/>
      <c r="D397" s="92"/>
      <c r="E397" s="55"/>
      <c r="F397" s="55"/>
      <c r="G397" s="55" t="s">
        <v>20</v>
      </c>
      <c r="H397" s="63">
        <v>1</v>
      </c>
      <c r="I397" s="55"/>
      <c r="J397" s="53">
        <v>5000000</v>
      </c>
      <c r="K397" s="53">
        <f t="shared" si="107"/>
        <v>0</v>
      </c>
      <c r="L397" s="219" t="s">
        <v>98</v>
      </c>
      <c r="M397" s="220"/>
    </row>
    <row r="398" spans="1:13" s="23" customFormat="1" ht="162" customHeight="1">
      <c r="A398" s="249"/>
      <c r="B398" s="62" t="s">
        <v>289</v>
      </c>
      <c r="C398" s="76"/>
      <c r="D398" s="92"/>
      <c r="E398" s="55"/>
      <c r="F398" s="55"/>
      <c r="G398" s="55" t="s">
        <v>20</v>
      </c>
      <c r="H398" s="63">
        <v>1</v>
      </c>
      <c r="I398" s="55"/>
      <c r="J398" s="53">
        <v>7000000</v>
      </c>
      <c r="K398" s="53">
        <f t="shared" si="107"/>
        <v>0</v>
      </c>
      <c r="L398" s="128" t="s">
        <v>99</v>
      </c>
      <c r="M398" s="101"/>
    </row>
    <row r="399" spans="1:13" s="23" customFormat="1" ht="186" customHeight="1">
      <c r="A399" s="249"/>
      <c r="B399" s="28" t="s">
        <v>290</v>
      </c>
      <c r="C399" s="187"/>
      <c r="D399" s="40"/>
      <c r="E399" s="11"/>
      <c r="F399" s="11"/>
      <c r="G399" s="11" t="s">
        <v>20</v>
      </c>
      <c r="H399" s="31">
        <v>1</v>
      </c>
      <c r="I399" s="11"/>
      <c r="J399" s="19">
        <v>3000000</v>
      </c>
      <c r="K399" s="53">
        <f t="shared" si="107"/>
        <v>0</v>
      </c>
      <c r="L399" s="188" t="s">
        <v>100</v>
      </c>
      <c r="M399" s="101"/>
    </row>
    <row r="400" spans="1:13" s="23" customFormat="1" ht="186" customHeight="1">
      <c r="A400" s="249"/>
      <c r="B400" s="28" t="s">
        <v>291</v>
      </c>
      <c r="C400" s="187"/>
      <c r="D400" s="40"/>
      <c r="E400" s="11"/>
      <c r="F400" s="11"/>
      <c r="G400" s="11" t="s">
        <v>20</v>
      </c>
      <c r="H400" s="31">
        <v>1</v>
      </c>
      <c r="I400" s="11"/>
      <c r="J400" s="19">
        <v>2000000</v>
      </c>
      <c r="K400" s="53">
        <f t="shared" si="107"/>
        <v>0</v>
      </c>
      <c r="L400" s="188" t="s">
        <v>100</v>
      </c>
      <c r="M400" s="102"/>
    </row>
    <row r="401" spans="1:13" s="23" customFormat="1" ht="112.5" customHeight="1">
      <c r="A401" s="247">
        <v>5</v>
      </c>
      <c r="B401" s="62" t="s">
        <v>58</v>
      </c>
      <c r="C401" s="44"/>
      <c r="D401" s="92"/>
      <c r="E401" s="55"/>
      <c r="F401" s="55"/>
      <c r="G401" s="55" t="s">
        <v>20</v>
      </c>
      <c r="H401" s="63">
        <v>1</v>
      </c>
      <c r="I401" s="64"/>
      <c r="J401" s="53">
        <v>2500000</v>
      </c>
      <c r="K401" s="53">
        <f t="shared" si="107"/>
        <v>0</v>
      </c>
      <c r="L401" s="219" t="s">
        <v>277</v>
      </c>
      <c r="M401" s="220"/>
    </row>
    <row r="402" spans="1:13" s="23" customFormat="1" ht="108" customHeight="1">
      <c r="A402" s="247"/>
      <c r="B402" s="62" t="s">
        <v>268</v>
      </c>
      <c r="C402" s="44"/>
      <c r="D402" s="92"/>
      <c r="E402" s="55"/>
      <c r="F402" s="55"/>
      <c r="G402" s="55" t="s">
        <v>20</v>
      </c>
      <c r="H402" s="63">
        <v>1</v>
      </c>
      <c r="I402" s="55"/>
      <c r="J402" s="53">
        <v>1500000</v>
      </c>
      <c r="K402" s="53">
        <f t="shared" si="107"/>
        <v>0</v>
      </c>
      <c r="L402" s="219" t="s">
        <v>277</v>
      </c>
      <c r="M402" s="101"/>
    </row>
    <row r="403" spans="1:13" s="3" customFormat="1" ht="56.25" customHeight="1">
      <c r="A403" s="248"/>
      <c r="B403" s="79" t="s">
        <v>269</v>
      </c>
      <c r="C403" s="80"/>
      <c r="D403" s="81"/>
      <c r="E403" s="82"/>
      <c r="F403" s="82"/>
      <c r="G403" s="82" t="s">
        <v>42</v>
      </c>
      <c r="H403" s="16">
        <v>1</v>
      </c>
      <c r="I403" s="82"/>
      <c r="J403" s="19">
        <v>750000</v>
      </c>
      <c r="K403" s="53">
        <f t="shared" si="107"/>
        <v>0</v>
      </c>
      <c r="L403" s="61" t="s">
        <v>281</v>
      </c>
      <c r="M403" s="141"/>
    </row>
    <row r="404" spans="1:13" s="3" customFormat="1" ht="78" customHeight="1">
      <c r="A404" s="259">
        <v>6</v>
      </c>
      <c r="B404" s="28" t="s">
        <v>162</v>
      </c>
      <c r="C404" s="148"/>
      <c r="D404" s="17"/>
      <c r="E404" s="14"/>
      <c r="F404" s="15"/>
      <c r="G404" s="15" t="s">
        <v>47</v>
      </c>
      <c r="H404" s="143">
        <v>1</v>
      </c>
      <c r="I404" s="15"/>
      <c r="J404" s="145">
        <v>2500000</v>
      </c>
      <c r="K404" s="53">
        <f t="shared" si="107"/>
        <v>0</v>
      </c>
      <c r="L404" s="149" t="s">
        <v>278</v>
      </c>
      <c r="M404" s="141"/>
    </row>
    <row r="405" spans="1:13" s="3" customFormat="1" ht="63.75" customHeight="1">
      <c r="A405" s="259"/>
      <c r="B405" s="75" t="s">
        <v>152</v>
      </c>
      <c r="C405" s="75"/>
      <c r="D405" s="77"/>
      <c r="E405" s="93"/>
      <c r="F405" s="64"/>
      <c r="G405" s="64" t="s">
        <v>42</v>
      </c>
      <c r="H405" s="143">
        <v>1</v>
      </c>
      <c r="I405" s="64"/>
      <c r="J405" s="142">
        <v>4919000</v>
      </c>
      <c r="K405" s="53">
        <f t="shared" si="107"/>
        <v>0</v>
      </c>
      <c r="L405" s="61" t="s">
        <v>153</v>
      </c>
      <c r="M405" s="141"/>
    </row>
    <row r="406" spans="1:13" s="3" customFormat="1" ht="66" customHeight="1">
      <c r="A406" s="259"/>
      <c r="B406" s="12" t="s">
        <v>154</v>
      </c>
      <c r="C406" s="12"/>
      <c r="D406" s="17"/>
      <c r="E406" s="14"/>
      <c r="F406" s="15"/>
      <c r="G406" s="15" t="s">
        <v>42</v>
      </c>
      <c r="H406" s="143">
        <v>1</v>
      </c>
      <c r="I406" s="15"/>
      <c r="J406" s="145">
        <v>3500000</v>
      </c>
      <c r="K406" s="53">
        <f t="shared" si="107"/>
        <v>0</v>
      </c>
      <c r="L406" s="61" t="s">
        <v>155</v>
      </c>
      <c r="M406" s="141"/>
    </row>
    <row r="407" spans="1:13" s="3" customFormat="1" ht="68.25" customHeight="1">
      <c r="A407" s="259"/>
      <c r="B407" s="12" t="s">
        <v>156</v>
      </c>
      <c r="C407" s="144" t="s">
        <v>157</v>
      </c>
      <c r="D407" s="17">
        <v>2000</v>
      </c>
      <c r="E407" s="14">
        <v>1150</v>
      </c>
      <c r="F407" s="15">
        <v>1230</v>
      </c>
      <c r="G407" s="15" t="s">
        <v>42</v>
      </c>
      <c r="H407" s="143">
        <v>1</v>
      </c>
      <c r="I407" s="15"/>
      <c r="J407" s="145">
        <v>7599000</v>
      </c>
      <c r="K407" s="53">
        <f t="shared" si="107"/>
        <v>0</v>
      </c>
      <c r="L407" s="61" t="s">
        <v>158</v>
      </c>
      <c r="M407" s="141"/>
    </row>
    <row r="408" spans="1:13" s="3" customFormat="1" ht="63.75" customHeight="1">
      <c r="A408" s="260"/>
      <c r="B408" s="12" t="s">
        <v>159</v>
      </c>
      <c r="C408" s="12"/>
      <c r="D408" s="17"/>
      <c r="E408" s="14"/>
      <c r="F408" s="15"/>
      <c r="G408" s="15" t="s">
        <v>42</v>
      </c>
      <c r="H408" s="143">
        <v>1</v>
      </c>
      <c r="I408" s="15"/>
      <c r="J408" s="145">
        <v>2550000</v>
      </c>
      <c r="K408" s="53">
        <f t="shared" si="107"/>
        <v>0</v>
      </c>
      <c r="L408" s="61" t="s">
        <v>160</v>
      </c>
      <c r="M408" s="102"/>
    </row>
    <row r="409" spans="1:13" s="3" customFormat="1" ht="63" customHeight="1">
      <c r="A409" s="247">
        <v>7</v>
      </c>
      <c r="B409" s="12" t="s">
        <v>59</v>
      </c>
      <c r="C409" s="13"/>
      <c r="D409" s="14"/>
      <c r="F409" s="15"/>
      <c r="G409" s="15" t="s">
        <v>42</v>
      </c>
      <c r="H409" s="16">
        <v>1</v>
      </c>
      <c r="I409" s="15"/>
      <c r="J409" s="19"/>
      <c r="K409" s="53">
        <f t="shared" si="107"/>
        <v>0</v>
      </c>
      <c r="L409" s="12" t="s">
        <v>60</v>
      </c>
      <c r="M409" s="102"/>
    </row>
    <row r="410" spans="1:13" s="3" customFormat="1" ht="63" customHeight="1">
      <c r="A410" s="249"/>
      <c r="B410" s="12" t="s">
        <v>61</v>
      </c>
      <c r="C410" s="13"/>
      <c r="D410" s="14"/>
      <c r="E410" s="15"/>
      <c r="F410" s="15"/>
      <c r="G410" s="15" t="s">
        <v>42</v>
      </c>
      <c r="H410" s="16">
        <v>1</v>
      </c>
      <c r="I410" s="15"/>
      <c r="J410" s="19"/>
      <c r="K410" s="53">
        <f t="shared" si="107"/>
        <v>0</v>
      </c>
      <c r="L410" s="12" t="s">
        <v>60</v>
      </c>
      <c r="M410" s="102"/>
    </row>
    <row r="411" spans="1:13" s="3" customFormat="1" ht="63" customHeight="1">
      <c r="A411" s="249"/>
      <c r="B411" s="12" t="s">
        <v>78</v>
      </c>
      <c r="C411" s="83"/>
      <c r="D411" s="17"/>
      <c r="E411" s="17"/>
      <c r="F411" s="17"/>
      <c r="G411" s="15" t="s">
        <v>42</v>
      </c>
      <c r="H411" s="16">
        <v>1</v>
      </c>
      <c r="I411" s="15"/>
      <c r="J411" s="19"/>
      <c r="K411" s="53">
        <f t="shared" si="107"/>
        <v>0</v>
      </c>
      <c r="L411" s="12" t="s">
        <v>60</v>
      </c>
      <c r="M411" s="102"/>
    </row>
    <row r="412" spans="1:13" s="3" customFormat="1" ht="63" customHeight="1">
      <c r="A412" s="249"/>
      <c r="B412" s="12" t="s">
        <v>79</v>
      </c>
      <c r="C412" s="13"/>
      <c r="D412" s="17"/>
      <c r="E412" s="17"/>
      <c r="F412" s="17"/>
      <c r="G412" s="15" t="s">
        <v>42</v>
      </c>
      <c r="H412" s="16">
        <v>1</v>
      </c>
      <c r="I412" s="15"/>
      <c r="J412" s="19"/>
      <c r="K412" s="53">
        <f t="shared" si="107"/>
        <v>0</v>
      </c>
      <c r="L412" s="12" t="s">
        <v>60</v>
      </c>
      <c r="M412" s="102"/>
    </row>
    <row r="413" spans="1:13" s="3" customFormat="1" ht="63" customHeight="1">
      <c r="A413" s="249"/>
      <c r="B413" s="12" t="s">
        <v>62</v>
      </c>
      <c r="C413" s="13"/>
      <c r="D413" s="17"/>
      <c r="E413" s="17"/>
      <c r="F413" s="17"/>
      <c r="G413" s="15" t="s">
        <v>42</v>
      </c>
      <c r="H413" s="16">
        <v>1</v>
      </c>
      <c r="I413" s="15"/>
      <c r="J413" s="19"/>
      <c r="K413" s="53">
        <f t="shared" si="107"/>
        <v>0</v>
      </c>
      <c r="L413" s="12" t="s">
        <v>60</v>
      </c>
      <c r="M413" s="102"/>
    </row>
    <row r="414" spans="1:13" s="3" customFormat="1" ht="63" customHeight="1">
      <c r="A414" s="249"/>
      <c r="B414" s="12" t="s">
        <v>80</v>
      </c>
      <c r="C414" s="13"/>
      <c r="D414" s="17"/>
      <c r="E414" s="17"/>
      <c r="F414" s="17"/>
      <c r="G414" s="15" t="s">
        <v>42</v>
      </c>
      <c r="H414" s="16">
        <v>1</v>
      </c>
      <c r="I414" s="15"/>
      <c r="J414" s="19"/>
      <c r="K414" s="53">
        <f t="shared" si="107"/>
        <v>0</v>
      </c>
      <c r="L414" s="12" t="s">
        <v>60</v>
      </c>
      <c r="M414" s="151"/>
    </row>
    <row r="415" spans="1:13" s="3" customFormat="1" ht="156.75" customHeight="1">
      <c r="A415" s="248"/>
      <c r="B415" s="28" t="s">
        <v>270</v>
      </c>
      <c r="C415" s="36"/>
      <c r="D415" s="40"/>
      <c r="E415" s="11"/>
      <c r="F415" s="11"/>
      <c r="G415" s="11" t="s">
        <v>42</v>
      </c>
      <c r="H415" s="16">
        <v>1</v>
      </c>
      <c r="I415" s="11"/>
      <c r="J415" s="19">
        <v>450000</v>
      </c>
      <c r="K415" s="53">
        <f t="shared" si="107"/>
        <v>0</v>
      </c>
      <c r="L415" s="51" t="s">
        <v>63</v>
      </c>
      <c r="M415" s="102"/>
    </row>
    <row r="416" spans="1:13" s="3" customFormat="1" ht="60.75" customHeight="1">
      <c r="A416" s="247">
        <v>8</v>
      </c>
      <c r="B416" s="28" t="s">
        <v>163</v>
      </c>
      <c r="C416" s="187"/>
      <c r="D416" s="40"/>
      <c r="E416" s="11"/>
      <c r="F416" s="11"/>
      <c r="G416" s="11" t="s">
        <v>22</v>
      </c>
      <c r="H416" s="16">
        <v>1</v>
      </c>
      <c r="I416" s="11">
        <v>1</v>
      </c>
      <c r="J416" s="19"/>
      <c r="K416" s="53">
        <f t="shared" si="107"/>
        <v>0</v>
      </c>
      <c r="L416" s="51"/>
      <c r="M416" s="102"/>
    </row>
    <row r="417" spans="1:14" s="23" customFormat="1" ht="84" customHeight="1">
      <c r="A417" s="249"/>
      <c r="B417" s="62" t="s">
        <v>64</v>
      </c>
      <c r="C417" s="221"/>
      <c r="D417" s="92"/>
      <c r="E417" s="55"/>
      <c r="F417" s="55"/>
      <c r="G417" s="55" t="s">
        <v>37</v>
      </c>
      <c r="H417" s="63"/>
      <c r="I417" s="55">
        <v>1</v>
      </c>
      <c r="J417" s="53">
        <v>380000</v>
      </c>
      <c r="K417" s="53">
        <f t="shared" si="107"/>
        <v>0</v>
      </c>
      <c r="L417" s="71" t="s">
        <v>65</v>
      </c>
      <c r="M417" s="101"/>
    </row>
    <row r="418" spans="1:14" s="23" customFormat="1" ht="90" customHeight="1">
      <c r="A418" s="248"/>
      <c r="B418" s="62" t="s">
        <v>66</v>
      </c>
      <c r="C418" s="221"/>
      <c r="D418" s="92"/>
      <c r="E418" s="55"/>
      <c r="F418" s="55"/>
      <c r="G418" s="55" t="s">
        <v>37</v>
      </c>
      <c r="H418" s="63"/>
      <c r="I418" s="55">
        <v>1</v>
      </c>
      <c r="J418" s="53">
        <v>105000</v>
      </c>
      <c r="K418" s="53">
        <f t="shared" si="107"/>
        <v>0</v>
      </c>
      <c r="L418" s="71" t="s">
        <v>67</v>
      </c>
      <c r="M418" s="101"/>
      <c r="N418" s="20"/>
    </row>
    <row r="419" spans="1:14" s="20" customFormat="1" ht="53.25" customHeight="1">
      <c r="A419" s="41" t="s">
        <v>271</v>
      </c>
      <c r="B419" s="252" t="s">
        <v>68</v>
      </c>
      <c r="C419" s="252"/>
      <c r="D419" s="252"/>
      <c r="E419" s="252"/>
      <c r="F419" s="252"/>
      <c r="G419" s="252"/>
      <c r="H419" s="252"/>
      <c r="I419" s="252"/>
      <c r="J419" s="252"/>
      <c r="K419" s="58">
        <f>SUM(K420:K424)</f>
        <v>0</v>
      </c>
      <c r="L419" s="59"/>
      <c r="M419" s="101"/>
      <c r="N419" s="23"/>
    </row>
    <row r="420" spans="1:14" s="23" customFormat="1" ht="64.5" customHeight="1">
      <c r="A420" s="55">
        <v>1</v>
      </c>
      <c r="B420" s="62" t="s">
        <v>69</v>
      </c>
      <c r="C420" s="62"/>
      <c r="D420" s="44"/>
      <c r="E420" s="44"/>
      <c r="F420" s="44"/>
      <c r="G420" s="55" t="s">
        <v>20</v>
      </c>
      <c r="H420" s="63">
        <v>1</v>
      </c>
      <c r="I420" s="55">
        <v>1</v>
      </c>
      <c r="J420" s="53"/>
      <c r="K420" s="53">
        <f t="shared" ref="K420:K422" si="115">J420*I420*H420</f>
        <v>0</v>
      </c>
      <c r="L420" s="125"/>
      <c r="M420" s="101"/>
    </row>
    <row r="421" spans="1:14" s="23" customFormat="1" ht="64.5" customHeight="1">
      <c r="A421" s="300">
        <v>2</v>
      </c>
      <c r="B421" s="301" t="s">
        <v>286</v>
      </c>
      <c r="C421" s="306" t="s">
        <v>287</v>
      </c>
      <c r="D421" s="303"/>
      <c r="E421" s="303"/>
      <c r="F421" s="303"/>
      <c r="G421" s="300" t="s">
        <v>20</v>
      </c>
      <c r="H421" s="304">
        <v>1</v>
      </c>
      <c r="I421" s="300">
        <v>1</v>
      </c>
      <c r="J421" s="305"/>
      <c r="K421" s="305">
        <f t="shared" si="115"/>
        <v>0</v>
      </c>
      <c r="L421" s="307"/>
      <c r="M421" s="101"/>
    </row>
    <row r="422" spans="1:14" s="23" customFormat="1" ht="64.5" customHeight="1">
      <c r="A422" s="300">
        <v>3</v>
      </c>
      <c r="B422" s="301" t="s">
        <v>285</v>
      </c>
      <c r="C422" s="302"/>
      <c r="D422" s="303"/>
      <c r="E422" s="303"/>
      <c r="F422" s="303"/>
      <c r="G422" s="300" t="s">
        <v>20</v>
      </c>
      <c r="H422" s="304">
        <v>1</v>
      </c>
      <c r="I422" s="300">
        <v>1</v>
      </c>
      <c r="J422" s="305"/>
      <c r="K422" s="305">
        <f t="shared" si="115"/>
        <v>0</v>
      </c>
      <c r="L422" s="125"/>
      <c r="M422" s="101"/>
    </row>
    <row r="423" spans="1:14" s="23" customFormat="1" ht="64.5" customHeight="1">
      <c r="A423" s="55">
        <v>4</v>
      </c>
      <c r="B423" s="62" t="s">
        <v>279</v>
      </c>
      <c r="C423" s="210" t="s">
        <v>280</v>
      </c>
      <c r="D423" s="44"/>
      <c r="E423" s="44"/>
      <c r="F423" s="44"/>
      <c r="G423" s="55" t="s">
        <v>20</v>
      </c>
      <c r="H423" s="113">
        <v>1</v>
      </c>
      <c r="I423" s="55">
        <v>1</v>
      </c>
      <c r="J423" s="53"/>
      <c r="K423" s="53">
        <f>J423*I423*H423</f>
        <v>0</v>
      </c>
      <c r="L423" s="71"/>
      <c r="M423" s="101"/>
    </row>
    <row r="424" spans="1:14" s="23" customFormat="1" ht="77.25" customHeight="1">
      <c r="A424" s="11">
        <v>5</v>
      </c>
      <c r="B424" s="28" t="s">
        <v>167</v>
      </c>
      <c r="C424" s="28"/>
      <c r="D424" s="36"/>
      <c r="E424" s="36"/>
      <c r="F424" s="36"/>
      <c r="G424" s="11" t="s">
        <v>20</v>
      </c>
      <c r="H424" s="112">
        <v>1</v>
      </c>
      <c r="I424" s="11"/>
      <c r="J424" s="53">
        <v>4000000</v>
      </c>
      <c r="K424" s="53">
        <f t="shared" ref="K424" si="116">J424*I424*H424</f>
        <v>0</v>
      </c>
      <c r="L424" s="71" t="s">
        <v>197</v>
      </c>
      <c r="M424" s="103"/>
    </row>
    <row r="425" spans="1:14" s="4" customFormat="1" ht="27.75" customHeight="1">
      <c r="A425" s="276" t="s">
        <v>70</v>
      </c>
      <c r="B425" s="276"/>
      <c r="C425" s="276"/>
      <c r="D425" s="276"/>
      <c r="E425" s="276"/>
      <c r="F425" s="276"/>
      <c r="G425" s="276"/>
      <c r="H425" s="276"/>
      <c r="I425" s="276"/>
      <c r="J425" s="276"/>
      <c r="K425" s="276"/>
      <c r="L425" s="276"/>
      <c r="M425" s="126"/>
      <c r="N425" s="6"/>
    </row>
    <row r="426" spans="1:14" s="8" customFormat="1" ht="129" customHeight="1">
      <c r="A426" s="267" t="s">
        <v>71</v>
      </c>
      <c r="B426" s="268"/>
      <c r="C426" s="268"/>
      <c r="D426" s="268"/>
      <c r="E426" s="268"/>
      <c r="F426" s="268"/>
      <c r="G426" s="268"/>
      <c r="H426" s="268"/>
      <c r="I426" s="268"/>
      <c r="J426" s="268"/>
      <c r="K426" s="269" t="s">
        <v>72</v>
      </c>
      <c r="L426" s="270"/>
      <c r="M426" s="103"/>
    </row>
  </sheetData>
  <mergeCells count="111">
    <mergeCell ref="A304:A306"/>
    <mergeCell ref="A315:A328"/>
    <mergeCell ref="A329:A331"/>
    <mergeCell ref="A251:A252"/>
    <mergeCell ref="A264:A267"/>
    <mergeCell ref="A269:A272"/>
    <mergeCell ref="A277:A282"/>
    <mergeCell ref="A283:A284"/>
    <mergeCell ref="A285:A286"/>
    <mergeCell ref="A295:A301"/>
    <mergeCell ref="A217:A218"/>
    <mergeCell ref="A220:A221"/>
    <mergeCell ref="A222:A229"/>
    <mergeCell ref="A231:A234"/>
    <mergeCell ref="A237:A240"/>
    <mergeCell ref="A244:A245"/>
    <mergeCell ref="A174:A181"/>
    <mergeCell ref="A183:A187"/>
    <mergeCell ref="A191:A192"/>
    <mergeCell ref="A194:A198"/>
    <mergeCell ref="A199:A201"/>
    <mergeCell ref="A203:A205"/>
    <mergeCell ref="A206:A207"/>
    <mergeCell ref="A208:A209"/>
    <mergeCell ref="A214:A215"/>
    <mergeCell ref="A139:A141"/>
    <mergeCell ref="A142:A143"/>
    <mergeCell ref="A144:A145"/>
    <mergeCell ref="A150:A151"/>
    <mergeCell ref="A153:A154"/>
    <mergeCell ref="A156:A157"/>
    <mergeCell ref="A158:A165"/>
    <mergeCell ref="A167:A170"/>
    <mergeCell ref="A92:A93"/>
    <mergeCell ref="A95:A96"/>
    <mergeCell ref="A98:A99"/>
    <mergeCell ref="A100:A103"/>
    <mergeCell ref="A105:A106"/>
    <mergeCell ref="A110:A117"/>
    <mergeCell ref="A119:A123"/>
    <mergeCell ref="A130:A134"/>
    <mergeCell ref="A135:A137"/>
    <mergeCell ref="A30:A32"/>
    <mergeCell ref="A34:A37"/>
    <mergeCell ref="A67:A71"/>
    <mergeCell ref="A80:A82"/>
    <mergeCell ref="A83:A84"/>
    <mergeCell ref="A86:A88"/>
    <mergeCell ref="A89:A90"/>
    <mergeCell ref="A393:A394"/>
    <mergeCell ref="A12:J12"/>
    <mergeCell ref="B13:J13"/>
    <mergeCell ref="B7:L7"/>
    <mergeCell ref="A8:L8"/>
    <mergeCell ref="A9:L9"/>
    <mergeCell ref="A10:A11"/>
    <mergeCell ref="B10:B11"/>
    <mergeCell ref="C10:C11"/>
    <mergeCell ref="B107:J107"/>
    <mergeCell ref="D10:F10"/>
    <mergeCell ref="G10:G11"/>
    <mergeCell ref="H10:H11"/>
    <mergeCell ref="I10:I11"/>
    <mergeCell ref="A127:A128"/>
    <mergeCell ref="A1:L1"/>
    <mergeCell ref="B2:L2"/>
    <mergeCell ref="B3:L3"/>
    <mergeCell ref="B4:L4"/>
    <mergeCell ref="B5:L5"/>
    <mergeCell ref="B6:L6"/>
    <mergeCell ref="J10:J11"/>
    <mergeCell ref="K10:K11"/>
    <mergeCell ref="L10:L11"/>
    <mergeCell ref="A426:J426"/>
    <mergeCell ref="K426:L426"/>
    <mergeCell ref="L374:L378"/>
    <mergeCell ref="L380:L381"/>
    <mergeCell ref="A425:L425"/>
    <mergeCell ref="B419:J419"/>
    <mergeCell ref="B333:J333"/>
    <mergeCell ref="B334:J334"/>
    <mergeCell ref="A344:A346"/>
    <mergeCell ref="A379:A392"/>
    <mergeCell ref="A395:A400"/>
    <mergeCell ref="A401:A403"/>
    <mergeCell ref="A404:A408"/>
    <mergeCell ref="A409:A415"/>
    <mergeCell ref="A416:A418"/>
    <mergeCell ref="A363:A364"/>
    <mergeCell ref="A370:A372"/>
    <mergeCell ref="A367:A369"/>
    <mergeCell ref="B373:J373"/>
    <mergeCell ref="A374:A378"/>
    <mergeCell ref="B259:J259"/>
    <mergeCell ref="B171:J171"/>
    <mergeCell ref="B235:J235"/>
    <mergeCell ref="A39:A47"/>
    <mergeCell ref="B62:J62"/>
    <mergeCell ref="B63:J63"/>
    <mergeCell ref="B56:J56"/>
    <mergeCell ref="A15:A20"/>
    <mergeCell ref="A22:A25"/>
    <mergeCell ref="B360:J360"/>
    <mergeCell ref="A335:A336"/>
    <mergeCell ref="A341:A343"/>
    <mergeCell ref="A354:A356"/>
    <mergeCell ref="A357:A359"/>
    <mergeCell ref="A350:A351"/>
    <mergeCell ref="B347:J347"/>
    <mergeCell ref="A290:A291"/>
    <mergeCell ref="B307:J307"/>
  </mergeCells>
  <pageMargins left="0.31496062992126" right="0.31496062992126" top="0.31496062992126" bottom="0.31496062992126" header="0.31496062992126" footer="0.31496062992126"/>
  <pageSetup scale="46"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A3024C-DB68-4FAD-95B2-C14EF6F9FE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BÁO GIÁ 3D</vt:lpstr>
      <vt:lpstr>'BÁO GIÁ 3D'!Print_Area</vt:lpstr>
      <vt:lpstr>'BÁO GIÁ 3D'!Print_Titles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Cuong Thaimanh</cp:lastModifiedBy>
  <cp:lastPrinted>2026-03-27T08:35:06Z</cp:lastPrinted>
  <dcterms:created xsi:type="dcterms:W3CDTF">2006-09-16T00:00:00Z</dcterms:created>
  <dcterms:modified xsi:type="dcterms:W3CDTF">2026-06-26T03:29:00Z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7A85126D839C4A05A2AEDB9AC45F9348_13</vt:lpwstr>
  </property>
  <property fmtid="{D5CDD505-2E9C-101B-9397-08002B2CF9AE}" pid="3" name="KSOProductBuildVer">
    <vt:lpwstr>1033-11.2.0.9052</vt:lpwstr>
  </property>
</Properties>
</file>